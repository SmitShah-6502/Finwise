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TOTAL" sheetId="1" r:id="rId4"/>
    <sheet state="visible" name="2_SECTOR WISE" sheetId="2" r:id="rId5"/>
  </sheets>
  <definedNames>
    <definedName name="_xlchart.v1.3">'1_TOTAL'!$I$2:$I$23</definedName>
    <definedName name="_xlchart.v1.4">'1_TOTAL'!$J$1</definedName>
    <definedName name="_xlchart.v1.1">'1_TOTAL'!$J$1</definedName>
    <definedName name="_xlchart.v1.9">'2_SECTOR WISE'!$I$2:$I$23</definedName>
    <definedName name="_xlchart.v1.0">'1_TOTAL'!$I$2:$I$23</definedName>
    <definedName name="_xlchart.v1.12">'2_SECTOR WISE'!$F$2:$F$81</definedName>
    <definedName name="_xlchart.v1.2">'1_TOTAL'!$J$2:$J$23</definedName>
    <definedName name="_xlchart.v1.7">'1_TOTAL'!$G$1</definedName>
    <definedName name="_xlchart.v1.13">'2_SECTOR WISE'!$G$1</definedName>
    <definedName name="_xlchart.v1.6">'1_TOTAL'!$F$2:$F$81</definedName>
    <definedName name="_xlchart.v1.11">'2_SECTOR WISE'!$J$2:$J$23</definedName>
    <definedName name="_xlchart.v1.5">'1_TOTAL'!$J$2:$J$23</definedName>
    <definedName name="_xlchart.v1.8">'1_TOTAL'!$G$2:$G$81</definedName>
    <definedName name="_xlchart.v1.10">'2_SECTOR WISE'!$J$1</definedName>
    <definedName name="_xlchart.v1.14">'2_SECTOR WISE'!$G$2:$G$81</definedName>
  </definedNames>
  <calcPr/>
  <extLst>
    <ext uri="GoogleSheetsCustomDataVersion2">
      <go:sheetsCustomData xmlns:go="http://customooxmlschemas.google.com/" r:id="rId6" roundtripDataChecksum="dZRhQJzqOAMP/IG1KDdOrhIO8+XGXfkKmGO3GvRXejY="/>
    </ext>
  </extLst>
</workbook>
</file>

<file path=xl/sharedStrings.xml><?xml version="1.0" encoding="utf-8"?>
<sst xmlns="http://schemas.openxmlformats.org/spreadsheetml/2006/main" count="386" uniqueCount="119">
  <si>
    <t>Sr.No</t>
  </si>
  <si>
    <t>Name of Script</t>
  </si>
  <si>
    <t>Stock Price</t>
  </si>
  <si>
    <t>Quantity</t>
  </si>
  <si>
    <t>Total</t>
  </si>
  <si>
    <t>SECTOR</t>
  </si>
  <si>
    <t>Total  %</t>
  </si>
  <si>
    <t xml:space="preserve">Sector </t>
  </si>
  <si>
    <t>Sector %</t>
  </si>
  <si>
    <t>UPL</t>
  </si>
  <si>
    <t>AGRI</t>
  </si>
  <si>
    <t>GODJREJ AGROVET</t>
  </si>
  <si>
    <t>Auto Ancillaries</t>
  </si>
  <si>
    <t>Pricol</t>
  </si>
  <si>
    <t>AUTO ANCILLLARY</t>
  </si>
  <si>
    <t>Aviation</t>
  </si>
  <si>
    <t>SANSERA</t>
  </si>
  <si>
    <t>Banking</t>
  </si>
  <si>
    <t>SUPRAJIT</t>
  </si>
  <si>
    <t>Chemical</t>
  </si>
  <si>
    <t>PCBL</t>
  </si>
  <si>
    <t>CLEAN ENERGY</t>
  </si>
  <si>
    <t>VARROC</t>
  </si>
  <si>
    <t>CONSTRUCTION</t>
  </si>
  <si>
    <t>SHANTI GEARS</t>
  </si>
  <si>
    <t>DEFENCE</t>
  </si>
  <si>
    <t>INDIGO</t>
  </si>
  <si>
    <t>AVIATION</t>
  </si>
  <si>
    <t xml:space="preserve">ELECTRONICS </t>
  </si>
  <si>
    <t>HDFC Bank</t>
  </si>
  <si>
    <t>BANKING</t>
  </si>
  <si>
    <t>FASHION</t>
  </si>
  <si>
    <t>IDFC First bank</t>
  </si>
  <si>
    <t>FINANCE</t>
  </si>
  <si>
    <t>Kotak Bank</t>
  </si>
  <si>
    <t>FMCG</t>
  </si>
  <si>
    <t>RBL BANK</t>
  </si>
  <si>
    <t>INSURANCE</t>
  </si>
  <si>
    <t>CITY BANK</t>
  </si>
  <si>
    <t>IT</t>
  </si>
  <si>
    <t>AXIS BANK</t>
  </si>
  <si>
    <t>LOGISTICS</t>
  </si>
  <si>
    <t>ICICI BANK</t>
  </si>
  <si>
    <t>MACHINARIES</t>
  </si>
  <si>
    <t>Aklyl Amines</t>
  </si>
  <si>
    <t>CHEMICAL</t>
  </si>
  <si>
    <t>NIFTY</t>
  </si>
  <si>
    <t>Clean Sciences</t>
  </si>
  <si>
    <t>PACKAGING</t>
  </si>
  <si>
    <t>Galaxy Surfants</t>
  </si>
  <si>
    <t>PHARMA</t>
  </si>
  <si>
    <t>Tatva Chintan Pharma</t>
  </si>
  <si>
    <t>PRINTING</t>
  </si>
  <si>
    <t>AMIORG</t>
  </si>
  <si>
    <t>RENEWABLES</t>
  </si>
  <si>
    <t>BALAJI AMINES</t>
  </si>
  <si>
    <t>RETAILS</t>
  </si>
  <si>
    <t>PRAJ</t>
  </si>
  <si>
    <t>KNR Construction</t>
  </si>
  <si>
    <t>AHULIA CONST</t>
  </si>
  <si>
    <t>TOTAL</t>
  </si>
  <si>
    <t>L&amp;T</t>
  </si>
  <si>
    <t>MTAR TECH</t>
  </si>
  <si>
    <t>CROMPTON</t>
  </si>
  <si>
    <t>IKIO LIGHT</t>
  </si>
  <si>
    <t>IDEA FORGE</t>
  </si>
  <si>
    <t>PDSL</t>
  </si>
  <si>
    <t>JIO Finance</t>
  </si>
  <si>
    <t>SBI Cards</t>
  </si>
  <si>
    <t>UJJIVAN</t>
  </si>
  <si>
    <t>JM Financils</t>
  </si>
  <si>
    <t>MASFIN</t>
  </si>
  <si>
    <t>AVAS</t>
  </si>
  <si>
    <t>EQUITAS</t>
  </si>
  <si>
    <t>CREDIT ACCESS</t>
  </si>
  <si>
    <t>BAJAJ FINANCE</t>
  </si>
  <si>
    <t>HUL</t>
  </si>
  <si>
    <t>ITC</t>
  </si>
  <si>
    <t>FINEORG</t>
  </si>
  <si>
    <t>HDFC Life</t>
  </si>
  <si>
    <t>BAJAJ FINSERV</t>
  </si>
  <si>
    <t>Infy</t>
  </si>
  <si>
    <t>TCS</t>
  </si>
  <si>
    <t>Traxcn</t>
  </si>
  <si>
    <t>TATA Tech</t>
  </si>
  <si>
    <t>BLSE</t>
  </si>
  <si>
    <t>AVALON</t>
  </si>
  <si>
    <t>TANLA</t>
  </si>
  <si>
    <t>AFFLE</t>
  </si>
  <si>
    <t>HCLTECH</t>
  </si>
  <si>
    <t>HAPPIEST MINDS</t>
  </si>
  <si>
    <t>BIRLASOFT</t>
  </si>
  <si>
    <t>LATENTVIEW</t>
  </si>
  <si>
    <t>TATA ELEXI</t>
  </si>
  <si>
    <t>LTTS</t>
  </si>
  <si>
    <t>ALLCARHO</t>
  </si>
  <si>
    <t>TVS SUPPLY</t>
  </si>
  <si>
    <t>GMM PFaudler</t>
  </si>
  <si>
    <t>TEGA</t>
  </si>
  <si>
    <t>NIFTY BEES</t>
  </si>
  <si>
    <t>Modltek Packer</t>
  </si>
  <si>
    <t>TARSONS</t>
  </si>
  <si>
    <t>Biocon</t>
  </si>
  <si>
    <t>CIPLA</t>
  </si>
  <si>
    <t>CONTROL PRINT</t>
  </si>
  <si>
    <t xml:space="preserve">PRINTING </t>
  </si>
  <si>
    <t>SWSOLAR</t>
  </si>
  <si>
    <t>RENEWABLE</t>
  </si>
  <si>
    <t>Asian Paints</t>
  </si>
  <si>
    <t>RETAIL</t>
  </si>
  <si>
    <t>Astral</t>
  </si>
  <si>
    <t>Pidilite</t>
  </si>
  <si>
    <t>Reliance</t>
  </si>
  <si>
    <t>Ultramar</t>
  </si>
  <si>
    <t>CARYSIL</t>
  </si>
  <si>
    <t>RHIM</t>
  </si>
  <si>
    <t>BERGER PAINTS</t>
  </si>
  <si>
    <t>DEVYANI INT</t>
  </si>
  <si>
    <t>VIP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</si>
</sst>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F4B083"/>
        <bgColor rgb="FFF4B083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8EAADB"/>
        <bgColor rgb="FF8EAADB"/>
      </patternFill>
    </fill>
    <fill>
      <patternFill patternType="solid">
        <fgColor rgb="FFFFD965"/>
        <bgColor rgb="FFFFD965"/>
      </patternFill>
    </fill>
    <fill>
      <patternFill patternType="solid">
        <fgColor rgb="FFB4C6E7"/>
        <bgColor rgb="FFB4C6E7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top"/>
    </xf>
    <xf borderId="1" fillId="2" fontId="1" numFmtId="0" xfId="0" applyAlignment="1" applyBorder="1" applyFont="1">
      <alignment horizontal="left" shrinkToFit="0" vertical="top" wrapText="1"/>
    </xf>
    <xf borderId="2" fillId="3" fontId="1" numFmtId="0" xfId="0" applyAlignment="1" applyBorder="1" applyFill="1" applyFont="1">
      <alignment horizontal="center"/>
    </xf>
    <xf borderId="3" fillId="3" fontId="1" numFmtId="0" xfId="0" applyAlignment="1" applyBorder="1" applyFont="1">
      <alignment horizontal="center"/>
    </xf>
    <xf borderId="4" fillId="3" fontId="1" numFmtId="0" xfId="0" applyAlignment="1" applyBorder="1" applyFont="1">
      <alignment horizontal="center"/>
    </xf>
    <xf borderId="1" fillId="4" fontId="2" numFmtId="0" xfId="0" applyAlignment="1" applyBorder="1" applyFill="1" applyFont="1">
      <alignment horizontal="left"/>
    </xf>
    <xf borderId="1" fillId="4" fontId="2" numFmtId="1" xfId="0" applyAlignment="1" applyBorder="1" applyFont="1" applyNumberFormat="1">
      <alignment horizontal="left"/>
    </xf>
    <xf borderId="1" fillId="4" fontId="2" numFmtId="2" xfId="0" applyAlignment="1" applyBorder="1" applyFont="1" applyNumberFormat="1">
      <alignment horizontal="left"/>
    </xf>
    <xf borderId="5" fillId="3" fontId="1" numFmtId="0" xfId="0" applyAlignment="1" applyBorder="1" applyFont="1">
      <alignment horizontal="center"/>
    </xf>
    <xf borderId="1" fillId="3" fontId="1" numFmtId="2" xfId="0" applyAlignment="1" applyBorder="1" applyFont="1" applyNumberFormat="1">
      <alignment horizontal="center"/>
    </xf>
    <xf borderId="6" fillId="3" fontId="1" numFmtId="1" xfId="0" applyAlignment="1" applyBorder="1" applyFont="1" applyNumberFormat="1">
      <alignment horizontal="center"/>
    </xf>
    <xf borderId="1" fillId="5" fontId="2" numFmtId="0" xfId="0" applyAlignment="1" applyBorder="1" applyFill="1" applyFont="1">
      <alignment horizontal="left"/>
    </xf>
    <xf borderId="1" fillId="5" fontId="2" numFmtId="1" xfId="0" applyAlignment="1" applyBorder="1" applyFont="1" applyNumberFormat="1">
      <alignment horizontal="left"/>
    </xf>
    <xf borderId="1" fillId="5" fontId="2" numFmtId="2" xfId="0" applyAlignment="1" applyBorder="1" applyFont="1" applyNumberFormat="1">
      <alignment horizontal="left"/>
    </xf>
    <xf borderId="1" fillId="6" fontId="2" numFmtId="0" xfId="0" applyAlignment="1" applyBorder="1" applyFill="1" applyFont="1">
      <alignment horizontal="left"/>
    </xf>
    <xf borderId="1" fillId="6" fontId="2" numFmtId="1" xfId="0" applyAlignment="1" applyBorder="1" applyFont="1" applyNumberFormat="1">
      <alignment horizontal="left"/>
    </xf>
    <xf borderId="1" fillId="6" fontId="2" numFmtId="2" xfId="0" applyAlignment="1" applyBorder="1" applyFont="1" applyNumberFormat="1">
      <alignment horizontal="left"/>
    </xf>
    <xf borderId="1" fillId="7" fontId="2" numFmtId="0" xfId="0" applyAlignment="1" applyBorder="1" applyFill="1" applyFont="1">
      <alignment horizontal="left"/>
    </xf>
    <xf borderId="1" fillId="7" fontId="2" numFmtId="1" xfId="0" applyAlignment="1" applyBorder="1" applyFont="1" applyNumberFormat="1">
      <alignment horizontal="left"/>
    </xf>
    <xf borderId="1" fillId="7" fontId="2" numFmtId="2" xfId="0" applyAlignment="1" applyBorder="1" applyFont="1" applyNumberFormat="1">
      <alignment horizontal="left"/>
    </xf>
    <xf borderId="1" fillId="3" fontId="1" numFmtId="1" xfId="0" applyAlignment="1" applyBorder="1" applyFont="1" applyNumberFormat="1">
      <alignment horizontal="center"/>
    </xf>
    <xf borderId="1" fillId="8" fontId="2" numFmtId="0" xfId="0" applyAlignment="1" applyBorder="1" applyFill="1" applyFont="1">
      <alignment horizontal="left"/>
    </xf>
    <xf borderId="1" fillId="8" fontId="2" numFmtId="1" xfId="0" applyAlignment="1" applyBorder="1" applyFont="1" applyNumberFormat="1">
      <alignment horizontal="left"/>
    </xf>
    <xf borderId="1" fillId="8" fontId="2" numFmtId="2" xfId="0" applyAlignment="1" applyBorder="1" applyFont="1" applyNumberFormat="1">
      <alignment horizontal="left"/>
    </xf>
    <xf borderId="7" fillId="3" fontId="1" numFmtId="0" xfId="0" applyAlignment="1" applyBorder="1" applyFont="1">
      <alignment horizontal="center"/>
    </xf>
    <xf borderId="8" fillId="3" fontId="1" numFmtId="2" xfId="0" applyAlignment="1" applyBorder="1" applyFont="1" applyNumberFormat="1">
      <alignment horizontal="center"/>
    </xf>
    <xf borderId="9" fillId="3" fontId="1" numFmtId="1" xfId="0" applyAlignment="1" applyBorder="1" applyFont="1" applyNumberFormat="1">
      <alignment horizontal="center"/>
    </xf>
    <xf borderId="1" fillId="3" fontId="1" numFmtId="0" xfId="0" applyAlignment="1" applyBorder="1" applyFont="1">
      <alignment horizontal="center"/>
    </xf>
    <xf borderId="1" fillId="3" fontId="1" numFmtId="2" xfId="0" applyAlignment="1" applyBorder="1" applyFont="1" applyNumberFormat="1">
      <alignment horizontal="center"/>
    </xf>
    <xf borderId="1" fillId="3" fontId="1" numFmtId="1" xfId="0" applyAlignment="1" applyBorder="1" applyFont="1" applyNumberFormat="1">
      <alignment horizontal="center"/>
    </xf>
    <xf borderId="1" fillId="9" fontId="2" numFmtId="0" xfId="0" applyAlignment="1" applyBorder="1" applyFill="1" applyFont="1">
      <alignment horizontal="left"/>
    </xf>
    <xf borderId="1" fillId="9" fontId="2" numFmtId="1" xfId="0" applyAlignment="1" applyBorder="1" applyFont="1" applyNumberFormat="1">
      <alignment horizontal="left"/>
    </xf>
    <xf borderId="1" fillId="9" fontId="2" numFmtId="2" xfId="0" applyAlignment="1" applyBorder="1" applyFont="1" applyNumberFormat="1">
      <alignment horizontal="left"/>
    </xf>
    <xf borderId="0" fillId="0" fontId="2" numFmtId="2" xfId="0" applyFont="1" applyNumberFormat="1"/>
    <xf borderId="0" fillId="0" fontId="2" numFmtId="1" xfId="0" applyFont="1" applyNumberFormat="1"/>
    <xf borderId="1" fillId="3" fontId="2" numFmtId="0" xfId="0" applyAlignment="1" applyBorder="1" applyFont="1">
      <alignment horizontal="left"/>
    </xf>
    <xf borderId="1" fillId="3" fontId="2" numFmtId="1" xfId="0" applyAlignment="1" applyBorder="1" applyFont="1" applyNumberFormat="1">
      <alignment horizontal="left"/>
    </xf>
    <xf borderId="1" fillId="3" fontId="2" numFmtId="2" xfId="0" applyAlignment="1" applyBorder="1" applyFont="1" applyNumberFormat="1">
      <alignment horizontal="left"/>
    </xf>
    <xf borderId="1" fillId="10" fontId="2" numFmtId="0" xfId="0" applyAlignment="1" applyBorder="1" applyFill="1" applyFont="1">
      <alignment horizontal="left"/>
    </xf>
    <xf borderId="1" fillId="10" fontId="2" numFmtId="1" xfId="0" applyAlignment="1" applyBorder="1" applyFont="1" applyNumberFormat="1">
      <alignment horizontal="left"/>
    </xf>
    <xf borderId="1" fillId="10" fontId="2" numFmtId="2" xfId="0" applyAlignment="1" applyBorder="1" applyFont="1" applyNumberFormat="1">
      <alignment horizontal="left"/>
    </xf>
    <xf borderId="1" fillId="11" fontId="2" numFmtId="0" xfId="0" applyAlignment="1" applyBorder="1" applyFill="1" applyFont="1">
      <alignment horizontal="left"/>
    </xf>
    <xf borderId="1" fillId="11" fontId="2" numFmtId="1" xfId="0" applyAlignment="1" applyBorder="1" applyFont="1" applyNumberFormat="1">
      <alignment horizontal="left"/>
    </xf>
    <xf borderId="1" fillId="11" fontId="2" numFmtId="2" xfId="0" applyAlignment="1" applyBorder="1" applyFont="1" applyNumberFormat="1">
      <alignment horizontal="left"/>
    </xf>
    <xf borderId="1" fillId="12" fontId="2" numFmtId="0" xfId="0" applyAlignment="1" applyBorder="1" applyFill="1" applyFont="1">
      <alignment horizontal="left"/>
    </xf>
    <xf borderId="1" fillId="12" fontId="2" numFmtId="1" xfId="0" applyAlignment="1" applyBorder="1" applyFont="1" applyNumberFormat="1">
      <alignment horizontal="left"/>
    </xf>
    <xf borderId="1" fillId="12" fontId="2" numFmtId="2" xfId="0" applyAlignment="1" applyBorder="1" applyFont="1" applyNumberFormat="1">
      <alignment horizontal="left"/>
    </xf>
    <xf borderId="5" fillId="12" fontId="2" numFmtId="0" xfId="0" applyAlignment="1" applyBorder="1" applyFont="1">
      <alignment horizontal="left"/>
    </xf>
    <xf borderId="10" fillId="0" fontId="2" numFmtId="0" xfId="0" applyAlignment="1" applyBorder="1" applyFont="1">
      <alignment horizontal="left"/>
    </xf>
    <xf borderId="11" fillId="0" fontId="2" numFmtId="0" xfId="0" applyAlignment="1" applyBorder="1" applyFont="1">
      <alignment horizontal="left"/>
    </xf>
    <xf borderId="11" fillId="0" fontId="2" numFmtId="1" xfId="0" applyAlignment="1" applyBorder="1" applyFont="1" applyNumberForma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4">
    <tableStyle count="4" pivot="0" name="1_TOTAL-style">
      <tableStyleElement dxfId="1" type="headerRow"/>
      <tableStyleElement dxfId="2" type="firstRowStripe"/>
      <tableStyleElement dxfId="3" type="secondRowStripe"/>
      <tableStyleElement dxfId="4" type="totalRow"/>
    </tableStyle>
    <tableStyle count="3" pivot="0" name="1_TOTAL-style 2">
      <tableStyleElement dxfId="1" type="headerRow"/>
      <tableStyleElement dxfId="2" type="firstRowStripe"/>
      <tableStyleElement dxfId="3" type="secondRowStripe"/>
    </tableStyle>
    <tableStyle count="4" pivot="0" name="2_SECTOR WISE-style">
      <tableStyleElement dxfId="1" type="headerRow"/>
      <tableStyleElement dxfId="2" type="firstRowStripe"/>
      <tableStyleElement dxfId="3" type="secondRowStripe"/>
      <tableStyleElement dxfId="4" type="totalRow"/>
    </tableStyle>
    <tableStyle count="3" pivot="0" name="2_SECTOR WISE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Sector %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'1_TOTAL'!$I$2:$I$23</c:f>
            </c:strRef>
          </c:cat>
          <c:val>
            <c:numRef>
              <c:f>'1_TOTAL'!$J$2:$J$23</c:f>
              <c:numCache/>
            </c:numRef>
          </c:val>
        </c:ser>
        <c:axId val="1687307592"/>
        <c:axId val="268771101"/>
      </c:barChart>
      <c:catAx>
        <c:axId val="168730759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68771101"/>
      </c:catAx>
      <c:valAx>
        <c:axId val="2687711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87307592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Sector %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'2_SECTOR WISE'!$I$2:$I$23</c:f>
            </c:strRef>
          </c:cat>
          <c:val>
            <c:numRef>
              <c:f>'2_SECTOR WISE'!$J$2:$J$23</c:f>
              <c:numCache/>
            </c:numRef>
          </c:val>
        </c:ser>
        <c:axId val="870725153"/>
        <c:axId val="92783228"/>
      </c:barChart>
      <c:catAx>
        <c:axId val="87072515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2783228"/>
      </c:catAx>
      <c:valAx>
        <c:axId val="9278322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70725153"/>
        <c:crosses val="max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428625</xdr:colOff>
      <xdr:row>26</xdr:row>
      <xdr:rowOff>28575</xdr:rowOff>
    </xdr:from>
    <xdr:ext cx="4352925" cy="2695575"/>
    <xdr:graphicFrame>
      <xdr:nvGraphicFramePr>
        <xdr:cNvPr id="184469005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428625</xdr:colOff>
      <xdr:row>26</xdr:row>
      <xdr:rowOff>28575</xdr:rowOff>
    </xdr:from>
    <xdr:ext cx="4352925" cy="2695575"/>
    <xdr:graphicFrame>
      <xdr:nvGraphicFramePr>
        <xdr:cNvPr id="176462805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totalsRowCount="1" ref="A1:G82" displayName="Table_1" name="Table_1" id="1">
  <tableColumns count="7">
    <tableColumn name="Sr.No" id="1"/>
    <tableColumn name="Name of Script" id="2"/>
    <tableColumn name="Stock Price" id="3"/>
    <tableColumn name="Quantity" id="4"/>
    <tableColumn totalsRowFunction="custom" name="Total" id="5"/>
    <tableColumn name="SECTOR" id="6"/>
    <tableColumn name="Total  %" id="7"/>
  </tableColumns>
  <tableStyleInfo name="1_TOTAL-style" showColumnStripes="0" showFirstColumn="1" showLastColumn="1" showRowStripes="1"/>
</table>
</file>

<file path=xl/tables/table2.xml><?xml version="1.0" encoding="utf-8"?>
<table xmlns="http://schemas.openxmlformats.org/spreadsheetml/2006/main" ref="I1:K24" displayName="Table_2" name="Table_2" id="2">
  <tableColumns count="3">
    <tableColumn name="Sector " id="1"/>
    <tableColumn name="Sector %" id="2"/>
    <tableColumn name="Total" id="3"/>
  </tableColumns>
  <tableStyleInfo name="1_TOTAL-style 2" showColumnStripes="0" showFirstColumn="1" showLastColumn="1" showRowStripes="1"/>
</table>
</file>

<file path=xl/tables/table3.xml><?xml version="1.0" encoding="utf-8"?>
<table xmlns="http://schemas.openxmlformats.org/spreadsheetml/2006/main" totalsRowCount="1" ref="A1:G82" displayName="Table_3" name="Table_3" id="3">
  <tableColumns count="7">
    <tableColumn name="Sr.No" id="1"/>
    <tableColumn name="Name of Script" id="2"/>
    <tableColumn name="Stock Price" id="3"/>
    <tableColumn name="Quantity" id="4"/>
    <tableColumn totalsRowFunction="custom" name="Total" id="5"/>
    <tableColumn name="SECTOR" id="6"/>
    <tableColumn name="Total  %" id="7"/>
  </tableColumns>
  <tableStyleInfo name="2_SECTOR WISE-style" showColumnStripes="0" showFirstColumn="1" showLastColumn="1" showRowStripes="1"/>
</table>
</file>

<file path=xl/tables/table4.xml><?xml version="1.0" encoding="utf-8"?>
<table xmlns="http://schemas.openxmlformats.org/spreadsheetml/2006/main" ref="I1:K24" displayName="Table_4" name="Table_4" id="4">
  <tableColumns count="3">
    <tableColumn name="Sector " id="1"/>
    <tableColumn name="Sector %" id="2"/>
    <tableColumn name="Total" id="3"/>
  </tableColumns>
  <tableStyleInfo name="2_SECTOR WISE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57"/>
    <col customWidth="1" min="3" max="4" width="12.57"/>
    <col customWidth="1" min="5" max="5" width="11.14"/>
    <col customWidth="1" min="6" max="6" width="18.14"/>
    <col customWidth="1" min="7" max="7" width="15.29"/>
    <col customWidth="1" min="8" max="8" width="6.57"/>
    <col customWidth="1" min="9" max="9" width="17.14"/>
    <col customWidth="1" min="10" max="10" width="22.57"/>
    <col customWidth="1" min="11" max="11" width="9.43"/>
    <col customWidth="1" min="12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I1" s="3" t="s">
        <v>7</v>
      </c>
      <c r="J1" s="4" t="s">
        <v>8</v>
      </c>
      <c r="K1" s="5" t="s">
        <v>4</v>
      </c>
    </row>
    <row r="2" ht="14.25" customHeight="1">
      <c r="A2" s="6">
        <v>23.0</v>
      </c>
      <c r="B2" s="6" t="s">
        <v>9</v>
      </c>
      <c r="C2" s="6">
        <v>505.0</v>
      </c>
      <c r="D2" s="6">
        <v>70.0</v>
      </c>
      <c r="E2" s="7">
        <f>D2*C2</f>
        <v>35350</v>
      </c>
      <c r="F2" s="6" t="s">
        <v>10</v>
      </c>
      <c r="G2" s="8">
        <f>'1_TOTAL'!$E2*100/'1_TOTAL'!$E$82</f>
        <v>1.213506221</v>
      </c>
      <c r="I2" s="9" t="s">
        <v>10</v>
      </c>
      <c r="J2" s="10">
        <f>SUM(G2:G3)</f>
        <v>1.768938488</v>
      </c>
      <c r="K2" s="11">
        <f>SUM(E2:E3)</f>
        <v>51530</v>
      </c>
    </row>
    <row r="3" ht="14.25" customHeight="1">
      <c r="A3" s="6">
        <v>52.0</v>
      </c>
      <c r="B3" s="6" t="s">
        <v>11</v>
      </c>
      <c r="C3" s="6">
        <v>809.0</v>
      </c>
      <c r="D3" s="6">
        <v>20.0</v>
      </c>
      <c r="E3" s="7">
        <f>'1_TOTAL'!$C3*'1_TOTAL'!$D3</f>
        <v>16180</v>
      </c>
      <c r="F3" s="6" t="s">
        <v>10</v>
      </c>
      <c r="G3" s="8">
        <f>'1_TOTAL'!$E3*100/'1_TOTAL'!$E$82</f>
        <v>0.5554322673</v>
      </c>
      <c r="I3" s="9" t="s">
        <v>12</v>
      </c>
      <c r="J3" s="10">
        <f>SUM(G4:G9)</f>
        <v>4.735592168</v>
      </c>
      <c r="K3" s="11">
        <f>SUM(E4:E9)</f>
        <v>137950</v>
      </c>
    </row>
    <row r="4" ht="14.25" customHeight="1">
      <c r="A4" s="12">
        <v>29.0</v>
      </c>
      <c r="B4" s="12" t="s">
        <v>13</v>
      </c>
      <c r="C4" s="12">
        <v>524.0</v>
      </c>
      <c r="D4" s="12">
        <v>20.0</v>
      </c>
      <c r="E4" s="13">
        <f>'1_TOTAL'!$C4*'1_TOTAL'!$D4</f>
        <v>10480</v>
      </c>
      <c r="F4" s="12" t="s">
        <v>14</v>
      </c>
      <c r="G4" s="14">
        <f>'1_TOTAL'!$E4*100/'1_TOTAL'!$E$82</f>
        <v>0.3597608258</v>
      </c>
      <c r="I4" s="9" t="s">
        <v>15</v>
      </c>
      <c r="J4" s="10">
        <f>G10</f>
        <v>0.7830290493</v>
      </c>
      <c r="K4" s="11">
        <f>E10</f>
        <v>22810</v>
      </c>
    </row>
    <row r="5" ht="14.25" customHeight="1">
      <c r="A5" s="12">
        <v>38.0</v>
      </c>
      <c r="B5" s="12" t="s">
        <v>16</v>
      </c>
      <c r="C5" s="12">
        <v>1033.0</v>
      </c>
      <c r="D5" s="12">
        <v>20.0</v>
      </c>
      <c r="E5" s="13">
        <f>'1_TOTAL'!$C5*'1_TOTAL'!$D5</f>
        <v>20660</v>
      </c>
      <c r="F5" s="12" t="s">
        <v>14</v>
      </c>
      <c r="G5" s="14">
        <f>'1_TOTAL'!$E5*100/'1_TOTAL'!$E$82</f>
        <v>0.7092231546</v>
      </c>
      <c r="I5" s="9" t="s">
        <v>17</v>
      </c>
      <c r="J5" s="10">
        <f>SUM(G11:G17)</f>
        <v>14.92018771</v>
      </c>
      <c r="K5" s="11">
        <f>SUM(E11:E17)</f>
        <v>434632</v>
      </c>
    </row>
    <row r="6" ht="14.25" customHeight="1">
      <c r="A6" s="12">
        <v>44.0</v>
      </c>
      <c r="B6" s="12" t="s">
        <v>18</v>
      </c>
      <c r="C6" s="12">
        <v>400.0</v>
      </c>
      <c r="D6" s="12">
        <v>100.0</v>
      </c>
      <c r="E6" s="13">
        <f>'1_TOTAL'!$C6*'1_TOTAL'!$D6</f>
        <v>40000</v>
      </c>
      <c r="F6" s="12" t="s">
        <v>14</v>
      </c>
      <c r="G6" s="14">
        <f>'1_TOTAL'!$E6*100/'1_TOTAL'!$E$82</f>
        <v>1.373132923</v>
      </c>
      <c r="I6" s="9" t="s">
        <v>19</v>
      </c>
      <c r="J6" s="10">
        <f>SUM(G18:G23)</f>
        <v>7.857821808</v>
      </c>
      <c r="K6" s="11">
        <f>SUM(E18:E23)</f>
        <v>228902</v>
      </c>
    </row>
    <row r="7" ht="14.25" customHeight="1">
      <c r="A7" s="12">
        <v>51.0</v>
      </c>
      <c r="B7" s="12" t="s">
        <v>20</v>
      </c>
      <c r="C7" s="12">
        <v>748.0</v>
      </c>
      <c r="D7" s="12">
        <v>55.0</v>
      </c>
      <c r="E7" s="13">
        <f>'1_TOTAL'!$C7*'1_TOTAL'!$D7</f>
        <v>41140</v>
      </c>
      <c r="F7" s="12" t="s">
        <v>14</v>
      </c>
      <c r="G7" s="14">
        <f>'1_TOTAL'!$E7*100/'1_TOTAL'!$E$82</f>
        <v>1.412267211</v>
      </c>
      <c r="I7" s="9" t="s">
        <v>21</v>
      </c>
      <c r="J7" s="10">
        <f>G24</f>
        <v>0.5602382325</v>
      </c>
      <c r="K7" s="11">
        <f>E24</f>
        <v>16320</v>
      </c>
    </row>
    <row r="8" ht="14.25" customHeight="1">
      <c r="A8" s="12">
        <v>53.0</v>
      </c>
      <c r="B8" s="12" t="s">
        <v>22</v>
      </c>
      <c r="C8" s="12">
        <v>25.0</v>
      </c>
      <c r="D8" s="12">
        <v>548.0</v>
      </c>
      <c r="E8" s="13">
        <f>'1_TOTAL'!$C8*'1_TOTAL'!$D8</f>
        <v>13700</v>
      </c>
      <c r="F8" s="12" t="s">
        <v>14</v>
      </c>
      <c r="G8" s="14">
        <f>'1_TOTAL'!$E8*100/'1_TOTAL'!$E$82</f>
        <v>0.4702980261</v>
      </c>
      <c r="I8" s="9" t="s">
        <v>23</v>
      </c>
      <c r="J8" s="10">
        <f>SUM(G25:G27)</f>
        <v>3.120320985</v>
      </c>
      <c r="K8" s="11">
        <f>SUM(E25:E27)</f>
        <v>90896.4</v>
      </c>
    </row>
    <row r="9" ht="14.25" customHeight="1">
      <c r="A9" s="12">
        <v>77.0</v>
      </c>
      <c r="B9" s="12" t="s">
        <v>24</v>
      </c>
      <c r="C9" s="12">
        <v>570.0</v>
      </c>
      <c r="D9" s="12">
        <v>21.0</v>
      </c>
      <c r="E9" s="13">
        <f>'1_TOTAL'!$C9*'1_TOTAL'!$D9</f>
        <v>11970</v>
      </c>
      <c r="F9" s="12" t="s">
        <v>14</v>
      </c>
      <c r="G9" s="14">
        <f>'1_TOTAL'!$E9*100/'1_TOTAL'!$E$82</f>
        <v>0.4109100272</v>
      </c>
      <c r="I9" s="9" t="s">
        <v>25</v>
      </c>
      <c r="J9" s="10">
        <f>G28</f>
        <v>1.190506244</v>
      </c>
      <c r="K9" s="11">
        <f>E28</f>
        <v>34680</v>
      </c>
    </row>
    <row r="10" ht="14.25" customHeight="1">
      <c r="A10" s="15">
        <v>78.0</v>
      </c>
      <c r="B10" s="15" t="s">
        <v>26</v>
      </c>
      <c r="C10" s="15">
        <v>4562.0</v>
      </c>
      <c r="D10" s="15">
        <v>5.0</v>
      </c>
      <c r="E10" s="16">
        <f>'1_TOTAL'!$C10*'1_TOTAL'!$D10</f>
        <v>22810</v>
      </c>
      <c r="F10" s="15" t="s">
        <v>27</v>
      </c>
      <c r="G10" s="17">
        <f>'1_TOTAL'!$E10*100/'1_TOTAL'!$E$82</f>
        <v>0.7830290493</v>
      </c>
      <c r="I10" s="9" t="s">
        <v>28</v>
      </c>
      <c r="J10" s="10">
        <f>SUM(G29:G31)</f>
        <v>1.98342185</v>
      </c>
      <c r="K10" s="11">
        <f>SUM(E29:E31)</f>
        <v>57778</v>
      </c>
    </row>
    <row r="11" ht="14.25" customHeight="1">
      <c r="A11" s="18">
        <v>8.0</v>
      </c>
      <c r="B11" s="18" t="s">
        <v>29</v>
      </c>
      <c r="C11" s="18">
        <v>1518.9</v>
      </c>
      <c r="D11" s="18">
        <v>100.0</v>
      </c>
      <c r="E11" s="19">
        <f t="shared" ref="E11:E13" si="1">D11*C11</f>
        <v>151890</v>
      </c>
      <c r="F11" s="18" t="s">
        <v>30</v>
      </c>
      <c r="G11" s="20">
        <f>'1_TOTAL'!$E11*100/'1_TOTAL'!$E$82</f>
        <v>5.214128991</v>
      </c>
      <c r="I11" s="9" t="s">
        <v>31</v>
      </c>
      <c r="J11" s="10">
        <f>G32</f>
        <v>0.7818618863</v>
      </c>
      <c r="K11" s="11">
        <f>E32</f>
        <v>22776</v>
      </c>
    </row>
    <row r="12" ht="14.25" customHeight="1">
      <c r="A12" s="18">
        <v>11.0</v>
      </c>
      <c r="B12" s="18" t="s">
        <v>32</v>
      </c>
      <c r="C12" s="18">
        <v>81.17</v>
      </c>
      <c r="D12" s="18">
        <v>700.0</v>
      </c>
      <c r="E12" s="19">
        <f t="shared" si="1"/>
        <v>56819</v>
      </c>
      <c r="F12" s="18" t="s">
        <v>30</v>
      </c>
      <c r="G12" s="20">
        <f>'1_TOTAL'!$E12*100/'1_TOTAL'!$E$82</f>
        <v>1.950500989</v>
      </c>
      <c r="I12" s="9" t="s">
        <v>33</v>
      </c>
      <c r="J12" s="21">
        <f>SUM(G33:G41)</f>
        <v>9.328993332</v>
      </c>
      <c r="K12" s="11">
        <f>SUM(E33:E41)</f>
        <v>271757.91</v>
      </c>
    </row>
    <row r="13" ht="14.25" customHeight="1">
      <c r="A13" s="18">
        <v>15.0</v>
      </c>
      <c r="B13" s="18" t="s">
        <v>34</v>
      </c>
      <c r="C13" s="18">
        <v>1752.0</v>
      </c>
      <c r="D13" s="18">
        <v>71.0</v>
      </c>
      <c r="E13" s="19">
        <f t="shared" si="1"/>
        <v>124392</v>
      </c>
      <c r="F13" s="18" t="s">
        <v>30</v>
      </c>
      <c r="G13" s="20">
        <f>'1_TOTAL'!$E13*100/'1_TOTAL'!$E$82</f>
        <v>4.270168763</v>
      </c>
      <c r="I13" s="9" t="s">
        <v>35</v>
      </c>
      <c r="J13" s="10">
        <f>SUM(G42:G44)</f>
        <v>10.04180689</v>
      </c>
      <c r="K13" s="11">
        <f>SUM(E42:E44)</f>
        <v>292522.5</v>
      </c>
    </row>
    <row r="14" ht="14.25" customHeight="1">
      <c r="A14" s="18">
        <v>55.0</v>
      </c>
      <c r="B14" s="18" t="s">
        <v>36</v>
      </c>
      <c r="C14" s="18">
        <v>230.0</v>
      </c>
      <c r="D14" s="18">
        <v>100.0</v>
      </c>
      <c r="E14" s="19">
        <f>'1_TOTAL'!$C14*'1_TOTAL'!$D14</f>
        <v>23000</v>
      </c>
      <c r="F14" s="18" t="s">
        <v>30</v>
      </c>
      <c r="G14" s="20">
        <f>'1_TOTAL'!$E14*100/'1_TOTAL'!$E$82</f>
        <v>0.7895514306</v>
      </c>
      <c r="I14" s="9" t="s">
        <v>37</v>
      </c>
      <c r="J14" s="10">
        <f>SUM(G45:G46)</f>
        <v>3.082374457</v>
      </c>
      <c r="K14" s="11">
        <f>SUM(E45:E46)</f>
        <v>89791</v>
      </c>
    </row>
    <row r="15" ht="14.25" customHeight="1">
      <c r="A15" s="18">
        <v>64.0</v>
      </c>
      <c r="B15" s="18" t="s">
        <v>38</v>
      </c>
      <c r="C15" s="18">
        <v>137.0</v>
      </c>
      <c r="D15" s="18">
        <v>30.0</v>
      </c>
      <c r="E15" s="19">
        <f>'1_TOTAL'!$C15*'1_TOTAL'!$D15</f>
        <v>4110</v>
      </c>
      <c r="F15" s="18" t="s">
        <v>30</v>
      </c>
      <c r="G15" s="20">
        <f>'1_TOTAL'!$E15*100/'1_TOTAL'!$E$82</f>
        <v>0.1410894078</v>
      </c>
      <c r="I15" s="9" t="s">
        <v>39</v>
      </c>
      <c r="J15" s="10">
        <f>SUM(G47:G60)</f>
        <v>17.91947046</v>
      </c>
      <c r="K15" s="11">
        <f>SUM(E47:E60)</f>
        <v>522002.5</v>
      </c>
    </row>
    <row r="16" ht="14.25" customHeight="1">
      <c r="A16" s="18">
        <v>66.0</v>
      </c>
      <c r="B16" s="18" t="s">
        <v>40</v>
      </c>
      <c r="C16" s="18">
        <v>1175.0</v>
      </c>
      <c r="D16" s="18">
        <v>27.0</v>
      </c>
      <c r="E16" s="19">
        <f>'1_TOTAL'!$C16*'1_TOTAL'!$D16</f>
        <v>31725</v>
      </c>
      <c r="F16" s="18" t="s">
        <v>30</v>
      </c>
      <c r="G16" s="20">
        <f>'1_TOTAL'!$E16*100/'1_TOTAL'!$E$82</f>
        <v>1.089066049</v>
      </c>
      <c r="I16" s="9" t="s">
        <v>41</v>
      </c>
      <c r="J16" s="10">
        <f>SUM(G61:G62)</f>
        <v>1.975594993</v>
      </c>
      <c r="K16" s="11">
        <f>SUM(E61:E62)</f>
        <v>57550</v>
      </c>
    </row>
    <row r="17" ht="14.25" customHeight="1">
      <c r="A17" s="18">
        <v>67.0</v>
      </c>
      <c r="B17" s="18" t="s">
        <v>42</v>
      </c>
      <c r="C17" s="18">
        <v>1186.0</v>
      </c>
      <c r="D17" s="18">
        <v>36.0</v>
      </c>
      <c r="E17" s="19">
        <f>'1_TOTAL'!$C17*'1_TOTAL'!$D17</f>
        <v>42696</v>
      </c>
      <c r="F17" s="18" t="s">
        <v>30</v>
      </c>
      <c r="G17" s="20">
        <f>'1_TOTAL'!$E17*100/'1_TOTAL'!$E$82</f>
        <v>1.465682082</v>
      </c>
      <c r="I17" s="9" t="s">
        <v>43</v>
      </c>
      <c r="J17" s="10">
        <f>SUM(G63:G64)</f>
        <v>1.897189103</v>
      </c>
      <c r="K17" s="11">
        <f>SUM(E63:E64)</f>
        <v>55266</v>
      </c>
    </row>
    <row r="18" ht="14.25" customHeight="1">
      <c r="A18" s="22">
        <v>1.0</v>
      </c>
      <c r="B18" s="22" t="s">
        <v>44</v>
      </c>
      <c r="C18" s="22">
        <v>2378.0</v>
      </c>
      <c r="D18" s="22">
        <v>18.0</v>
      </c>
      <c r="E18" s="23">
        <f t="shared" ref="E18:E21" si="2">D18*C18</f>
        <v>42804</v>
      </c>
      <c r="F18" s="22" t="s">
        <v>45</v>
      </c>
      <c r="G18" s="24">
        <f>'1_TOTAL'!$E18*100/'1_TOTAL'!$E$82</f>
        <v>1.469389541</v>
      </c>
      <c r="I18" s="9" t="s">
        <v>46</v>
      </c>
      <c r="J18" s="10">
        <f>G65</f>
        <v>0.02790892666</v>
      </c>
      <c r="K18" s="11">
        <f>E65</f>
        <v>813</v>
      </c>
    </row>
    <row r="19" ht="14.25" customHeight="1">
      <c r="A19" s="22">
        <v>5.0</v>
      </c>
      <c r="B19" s="22" t="s">
        <v>47</v>
      </c>
      <c r="C19" s="22">
        <v>1535.0</v>
      </c>
      <c r="D19" s="22">
        <v>45.0</v>
      </c>
      <c r="E19" s="23">
        <f t="shared" si="2"/>
        <v>69075</v>
      </c>
      <c r="F19" s="22" t="s">
        <v>45</v>
      </c>
      <c r="G19" s="24">
        <f>'1_TOTAL'!$E19*100/'1_TOTAL'!$E$82</f>
        <v>2.371228916</v>
      </c>
      <c r="I19" s="9" t="s">
        <v>48</v>
      </c>
      <c r="J19" s="10">
        <f>SUM(G66:G67)</f>
        <v>2.784965881</v>
      </c>
      <c r="K19" s="11">
        <f>SUM(E66:E67)</f>
        <v>81127.35</v>
      </c>
    </row>
    <row r="20" ht="14.25" customHeight="1">
      <c r="A20" s="22">
        <v>6.0</v>
      </c>
      <c r="B20" s="22" t="s">
        <v>49</v>
      </c>
      <c r="C20" s="22">
        <v>2793.0</v>
      </c>
      <c r="D20" s="22">
        <v>9.0</v>
      </c>
      <c r="E20" s="23">
        <f t="shared" si="2"/>
        <v>25137</v>
      </c>
      <c r="F20" s="22" t="s">
        <v>45</v>
      </c>
      <c r="G20" s="24">
        <f>'1_TOTAL'!$E20*100/'1_TOTAL'!$E$82</f>
        <v>0.862911057</v>
      </c>
      <c r="I20" s="9" t="s">
        <v>50</v>
      </c>
      <c r="J20" s="10">
        <f>SUM(G68:G69)</f>
        <v>1.800589202</v>
      </c>
      <c r="K20" s="11">
        <f>SUM(E68:E69)</f>
        <v>52452</v>
      </c>
    </row>
    <row r="21" ht="14.25" customHeight="1">
      <c r="A21" s="22">
        <v>20.0</v>
      </c>
      <c r="B21" s="22" t="s">
        <v>51</v>
      </c>
      <c r="C21" s="22">
        <v>1525.0</v>
      </c>
      <c r="D21" s="22">
        <v>50.0</v>
      </c>
      <c r="E21" s="23">
        <f t="shared" si="2"/>
        <v>76250</v>
      </c>
      <c r="F21" s="22" t="s">
        <v>45</v>
      </c>
      <c r="G21" s="24">
        <f>'1_TOTAL'!$E21*100/'1_TOTAL'!$E$82</f>
        <v>2.617534634</v>
      </c>
      <c r="I21" s="9" t="s">
        <v>52</v>
      </c>
      <c r="J21" s="10">
        <f t="shared" ref="J21:J22" si="3">G70</f>
        <v>0.8864602867</v>
      </c>
      <c r="K21" s="11">
        <f t="shared" ref="K21:K22" si="4">E70</f>
        <v>25823</v>
      </c>
    </row>
    <row r="22" ht="14.25" customHeight="1">
      <c r="A22" s="22">
        <v>60.0</v>
      </c>
      <c r="B22" s="22" t="s">
        <v>53</v>
      </c>
      <c r="C22" s="22">
        <v>1126.0</v>
      </c>
      <c r="D22" s="22">
        <v>6.0</v>
      </c>
      <c r="E22" s="23">
        <f>'1_TOTAL'!$C22*'1_TOTAL'!$D22</f>
        <v>6756</v>
      </c>
      <c r="F22" s="22" t="s">
        <v>45</v>
      </c>
      <c r="G22" s="24">
        <f>'1_TOTAL'!$E22*100/'1_TOTAL'!$E$82</f>
        <v>0.2319221507</v>
      </c>
      <c r="I22" s="9" t="s">
        <v>54</v>
      </c>
      <c r="J22" s="10">
        <f t="shared" si="3"/>
        <v>0.4462681999</v>
      </c>
      <c r="K22" s="11">
        <f t="shared" si="4"/>
        <v>13000</v>
      </c>
    </row>
    <row r="23" ht="14.25" customHeight="1">
      <c r="A23" s="22">
        <v>61.0</v>
      </c>
      <c r="B23" s="22" t="s">
        <v>55</v>
      </c>
      <c r="C23" s="22">
        <v>2220.0</v>
      </c>
      <c r="D23" s="22">
        <v>4.0</v>
      </c>
      <c r="E23" s="23">
        <f>'1_TOTAL'!$C23*'1_TOTAL'!$D23</f>
        <v>8880</v>
      </c>
      <c r="F23" s="22" t="s">
        <v>45</v>
      </c>
      <c r="G23" s="24">
        <f>'1_TOTAL'!$E23*100/'1_TOTAL'!$E$82</f>
        <v>0.3048355089</v>
      </c>
      <c r="I23" s="9" t="s">
        <v>56</v>
      </c>
      <c r="J23" s="10">
        <f>SUM(G72:G81)</f>
        <v>12.10645985</v>
      </c>
      <c r="K23" s="11">
        <f>SUM(E72:E81)</f>
        <v>352666.8</v>
      </c>
    </row>
    <row r="24" ht="14.25" customHeight="1">
      <c r="A24" s="15">
        <v>36.0</v>
      </c>
      <c r="B24" s="15" t="s">
        <v>57</v>
      </c>
      <c r="C24" s="15">
        <v>544.0</v>
      </c>
      <c r="D24" s="15">
        <v>30.0</v>
      </c>
      <c r="E24" s="16">
        <f>'1_TOTAL'!$C24*'1_TOTAL'!$D24</f>
        <v>16320</v>
      </c>
      <c r="F24" s="15" t="s">
        <v>21</v>
      </c>
      <c r="G24" s="17">
        <f>'1_TOTAL'!$E24*100/'1_TOTAL'!$E$82</f>
        <v>0.5602382325</v>
      </c>
      <c r="I24" s="25"/>
      <c r="J24" s="26"/>
      <c r="K24" s="27"/>
    </row>
    <row r="25" ht="14.25" customHeight="1">
      <c r="A25" s="12">
        <v>27.0</v>
      </c>
      <c r="B25" s="12" t="s">
        <v>58</v>
      </c>
      <c r="C25" s="12">
        <v>338.9</v>
      </c>
      <c r="D25" s="12">
        <v>30.0</v>
      </c>
      <c r="E25" s="13">
        <f>'1_TOTAL'!$C25*'1_TOTAL'!$D25</f>
        <v>10167</v>
      </c>
      <c r="F25" s="12" t="s">
        <v>23</v>
      </c>
      <c r="G25" s="14">
        <f>'1_TOTAL'!$E25*100/'1_TOTAL'!$E$82</f>
        <v>0.3490160607</v>
      </c>
      <c r="I25" s="28"/>
      <c r="J25" s="28"/>
      <c r="K25" s="28"/>
    </row>
    <row r="26" ht="14.25" customHeight="1">
      <c r="A26" s="12">
        <v>50.0</v>
      </c>
      <c r="B26" s="12" t="s">
        <v>59</v>
      </c>
      <c r="C26" s="12">
        <v>1316.22</v>
      </c>
      <c r="D26" s="12">
        <v>20.0</v>
      </c>
      <c r="E26" s="13">
        <f>'1_TOTAL'!$C26*'1_TOTAL'!$D26</f>
        <v>26324.4</v>
      </c>
      <c r="F26" s="12" t="s">
        <v>23</v>
      </c>
      <c r="G26" s="14">
        <f>'1_TOTAL'!$E26*100/'1_TOTAL'!$E$82</f>
        <v>0.9036725079</v>
      </c>
      <c r="I26" s="28" t="s">
        <v>60</v>
      </c>
      <c r="J26" s="29">
        <f t="shared" ref="J26:K26" si="5">SUM(J2:J23)</f>
        <v>100</v>
      </c>
      <c r="K26" s="30">
        <f t="shared" si="5"/>
        <v>2913046.46</v>
      </c>
    </row>
    <row r="27" ht="14.25" customHeight="1">
      <c r="A27" s="12">
        <v>73.0</v>
      </c>
      <c r="B27" s="12" t="s">
        <v>61</v>
      </c>
      <c r="C27" s="12">
        <v>3627.0</v>
      </c>
      <c r="D27" s="12">
        <v>15.0</v>
      </c>
      <c r="E27" s="13">
        <f>'1_TOTAL'!$C27*'1_TOTAL'!$D27</f>
        <v>54405</v>
      </c>
      <c r="F27" s="12" t="s">
        <v>23</v>
      </c>
      <c r="G27" s="14">
        <f>'1_TOTAL'!$E27*100/'1_TOTAL'!$E$82</f>
        <v>1.867632417</v>
      </c>
    </row>
    <row r="28" ht="14.25" customHeight="1">
      <c r="A28" s="15">
        <v>43.0</v>
      </c>
      <c r="B28" s="15" t="s">
        <v>62</v>
      </c>
      <c r="C28" s="15">
        <v>1734.0</v>
      </c>
      <c r="D28" s="15">
        <v>20.0</v>
      </c>
      <c r="E28" s="16">
        <f>'1_TOTAL'!$C28*'1_TOTAL'!$D28</f>
        <v>34680</v>
      </c>
      <c r="F28" s="15" t="s">
        <v>25</v>
      </c>
      <c r="G28" s="17">
        <f>'1_TOTAL'!$E28*100/'1_TOTAL'!$E$82</f>
        <v>1.190506244</v>
      </c>
    </row>
    <row r="29" ht="14.25" customHeight="1">
      <c r="A29" s="31">
        <v>40.0</v>
      </c>
      <c r="B29" s="31" t="s">
        <v>63</v>
      </c>
      <c r="C29" s="31">
        <v>80.0</v>
      </c>
      <c r="D29" s="31">
        <v>281.0</v>
      </c>
      <c r="E29" s="32">
        <f>'1_TOTAL'!$C29*'1_TOTAL'!$D29</f>
        <v>22480</v>
      </c>
      <c r="F29" s="31" t="s">
        <v>28</v>
      </c>
      <c r="G29" s="33">
        <f>'1_TOTAL'!$E29*100/'1_TOTAL'!$E$82</f>
        <v>0.7717007026</v>
      </c>
    </row>
    <row r="30" ht="14.25" customHeight="1">
      <c r="A30" s="31">
        <v>54.0</v>
      </c>
      <c r="B30" s="31" t="s">
        <v>64</v>
      </c>
      <c r="C30" s="31">
        <v>283.0</v>
      </c>
      <c r="D30" s="31">
        <v>70.0</v>
      </c>
      <c r="E30" s="32">
        <f>'1_TOTAL'!$C30*'1_TOTAL'!$D30</f>
        <v>19810</v>
      </c>
      <c r="F30" s="31" t="s">
        <v>28</v>
      </c>
      <c r="G30" s="33">
        <f>'1_TOTAL'!$E30*100/'1_TOTAL'!$E$82</f>
        <v>0.68004408</v>
      </c>
    </row>
    <row r="31" ht="14.25" customHeight="1">
      <c r="A31" s="31">
        <v>58.0</v>
      </c>
      <c r="B31" s="31" t="s">
        <v>65</v>
      </c>
      <c r="C31" s="31">
        <v>704.0</v>
      </c>
      <c r="D31" s="31">
        <v>22.0</v>
      </c>
      <c r="E31" s="32">
        <f>'1_TOTAL'!$C31*'1_TOTAL'!$D31</f>
        <v>15488</v>
      </c>
      <c r="F31" s="31" t="s">
        <v>28</v>
      </c>
      <c r="G31" s="33">
        <f>'1_TOTAL'!$E31*100/'1_TOTAL'!$E$82</f>
        <v>0.5316770677</v>
      </c>
    </row>
    <row r="32" ht="14.25" customHeight="1">
      <c r="A32" s="15">
        <v>59.0</v>
      </c>
      <c r="B32" s="15" t="s">
        <v>66</v>
      </c>
      <c r="C32" s="15">
        <v>438.0</v>
      </c>
      <c r="D32" s="15">
        <v>52.0</v>
      </c>
      <c r="E32" s="16">
        <f>'1_TOTAL'!$C32*'1_TOTAL'!$D32</f>
        <v>22776</v>
      </c>
      <c r="F32" s="15" t="s">
        <v>31</v>
      </c>
      <c r="G32" s="17">
        <f>'1_TOTAL'!$E32*100/'1_TOTAL'!$E$82</f>
        <v>0.7818618863</v>
      </c>
      <c r="H32" s="34"/>
    </row>
    <row r="33" ht="14.25" customHeight="1">
      <c r="A33" s="12">
        <v>14.0</v>
      </c>
      <c r="B33" s="12" t="s">
        <v>67</v>
      </c>
      <c r="C33" s="12">
        <v>240.33</v>
      </c>
      <c r="D33" s="12">
        <v>225.0</v>
      </c>
      <c r="E33" s="13">
        <f t="shared" ref="E33:E34" si="6">D33*C33</f>
        <v>54074.25</v>
      </c>
      <c r="F33" s="12" t="s">
        <v>33</v>
      </c>
      <c r="G33" s="14">
        <f>'1_TOTAL'!$E33*100/'1_TOTAL'!$E$82</f>
        <v>1.856278324</v>
      </c>
    </row>
    <row r="34" ht="14.25" customHeight="1">
      <c r="A34" s="12">
        <v>19.0</v>
      </c>
      <c r="B34" s="12" t="s">
        <v>68</v>
      </c>
      <c r="C34" s="12">
        <v>728.0</v>
      </c>
      <c r="D34" s="12">
        <v>91.0</v>
      </c>
      <c r="E34" s="13">
        <f t="shared" si="6"/>
        <v>66248</v>
      </c>
      <c r="F34" s="12" t="s">
        <v>33</v>
      </c>
      <c r="G34" s="14">
        <f>'1_TOTAL'!$E34*100/'1_TOTAL'!$E$82</f>
        <v>2.274182747</v>
      </c>
      <c r="H34" s="35"/>
    </row>
    <row r="35" ht="14.25" customHeight="1">
      <c r="A35" s="12">
        <v>25.0</v>
      </c>
      <c r="B35" s="12" t="s">
        <v>69</v>
      </c>
      <c r="C35" s="12">
        <v>41.82</v>
      </c>
      <c r="D35" s="12">
        <v>250.0</v>
      </c>
      <c r="E35" s="13">
        <f>'1_TOTAL'!$C35*'1_TOTAL'!$D35</f>
        <v>10455</v>
      </c>
      <c r="F35" s="12" t="s">
        <v>33</v>
      </c>
      <c r="G35" s="14">
        <f>'1_TOTAL'!$E35*100/'1_TOTAL'!$E$82</f>
        <v>0.3589026177</v>
      </c>
    </row>
    <row r="36" ht="14.25" customHeight="1">
      <c r="A36" s="12">
        <v>26.0</v>
      </c>
      <c r="B36" s="12" t="s">
        <v>70</v>
      </c>
      <c r="C36" s="12">
        <v>93.48</v>
      </c>
      <c r="D36" s="12">
        <v>164.0</v>
      </c>
      <c r="E36" s="13">
        <f>'1_TOTAL'!$C36*'1_TOTAL'!$D36</f>
        <v>15330.72</v>
      </c>
      <c r="F36" s="12" t="s">
        <v>33</v>
      </c>
      <c r="G36" s="14">
        <f>'1_TOTAL'!$E36*100/'1_TOTAL'!$E$82</f>
        <v>0.5262779091</v>
      </c>
    </row>
    <row r="37" ht="14.25" customHeight="1">
      <c r="A37" s="12">
        <v>30.0</v>
      </c>
      <c r="B37" s="12" t="s">
        <v>71</v>
      </c>
      <c r="C37" s="12">
        <v>278.93</v>
      </c>
      <c r="D37" s="12">
        <v>40.0</v>
      </c>
      <c r="E37" s="13">
        <f>'1_TOTAL'!$C37*'1_TOTAL'!$D37</f>
        <v>11157.2</v>
      </c>
      <c r="F37" s="12" t="s">
        <v>33</v>
      </c>
      <c r="G37" s="14">
        <f>'1_TOTAL'!$E37*100/'1_TOTAL'!$E$82</f>
        <v>0.3830079662</v>
      </c>
    </row>
    <row r="38" ht="14.25" customHeight="1">
      <c r="A38" s="12">
        <v>35.0</v>
      </c>
      <c r="B38" s="12" t="s">
        <v>72</v>
      </c>
      <c r="C38" s="12">
        <v>1543.0</v>
      </c>
      <c r="D38" s="12">
        <v>20.0</v>
      </c>
      <c r="E38" s="13">
        <f>'1_TOTAL'!$C38*'1_TOTAL'!$D38</f>
        <v>30860</v>
      </c>
      <c r="F38" s="12" t="s">
        <v>33</v>
      </c>
      <c r="G38" s="14">
        <f>'1_TOTAL'!$E38*100/'1_TOTAL'!$E$82</f>
        <v>1.05937205</v>
      </c>
    </row>
    <row r="39" ht="14.25" customHeight="1">
      <c r="A39" s="12">
        <v>37.0</v>
      </c>
      <c r="B39" s="12" t="s">
        <v>73</v>
      </c>
      <c r="C39" s="12">
        <v>206.0</v>
      </c>
      <c r="D39" s="12">
        <v>86.29</v>
      </c>
      <c r="E39" s="13">
        <f>'1_TOTAL'!$C39*'1_TOTAL'!$D39</f>
        <v>17775.74</v>
      </c>
      <c r="F39" s="12" t="s">
        <v>33</v>
      </c>
      <c r="G39" s="14">
        <f>'1_TOTAL'!$E39*100/'1_TOTAL'!$E$82</f>
        <v>0.6102113455</v>
      </c>
    </row>
    <row r="40" ht="14.25" customHeight="1">
      <c r="A40" s="12">
        <v>57.0</v>
      </c>
      <c r="B40" s="12" t="s">
        <v>74</v>
      </c>
      <c r="C40" s="12">
        <v>1233.0</v>
      </c>
      <c r="D40" s="12">
        <v>15.0</v>
      </c>
      <c r="E40" s="13">
        <f>'1_TOTAL'!$C40*'1_TOTAL'!$D40</f>
        <v>18495</v>
      </c>
      <c r="F40" s="12" t="s">
        <v>33</v>
      </c>
      <c r="G40" s="14">
        <f>'1_TOTAL'!$E40*100/'1_TOTAL'!$E$82</f>
        <v>0.6349023352</v>
      </c>
    </row>
    <row r="41" ht="14.25" customHeight="1">
      <c r="A41" s="12">
        <v>72.0</v>
      </c>
      <c r="B41" s="12" t="s">
        <v>75</v>
      </c>
      <c r="C41" s="12">
        <v>6766.0</v>
      </c>
      <c r="D41" s="12">
        <v>7.0</v>
      </c>
      <c r="E41" s="13">
        <f>'1_TOTAL'!$C41*'1_TOTAL'!$D41</f>
        <v>47362</v>
      </c>
      <c r="F41" s="12" t="s">
        <v>33</v>
      </c>
      <c r="G41" s="14">
        <f>'1_TOTAL'!$E41*100/'1_TOTAL'!$E$82</f>
        <v>1.625858037</v>
      </c>
    </row>
    <row r="42" ht="14.25" customHeight="1">
      <c r="A42" s="31">
        <v>10.0</v>
      </c>
      <c r="B42" s="31" t="s">
        <v>76</v>
      </c>
      <c r="C42" s="31">
        <v>2412.0</v>
      </c>
      <c r="D42" s="31">
        <v>40.0</v>
      </c>
      <c r="E42" s="32">
        <f>D42*C42</f>
        <v>96480</v>
      </c>
      <c r="F42" s="31" t="s">
        <v>35</v>
      </c>
      <c r="G42" s="33">
        <f>'1_TOTAL'!$E42*100/'1_TOTAL'!$E$82</f>
        <v>3.31199661</v>
      </c>
    </row>
    <row r="43" ht="14.25" customHeight="1">
      <c r="A43" s="31">
        <v>13.0</v>
      </c>
      <c r="B43" s="31" t="s">
        <v>77</v>
      </c>
      <c r="C43" s="31">
        <v>434.5</v>
      </c>
      <c r="D43" s="31">
        <v>345.0</v>
      </c>
      <c r="E43" s="32">
        <f>'1_TOTAL'!$C43*'1_TOTAL'!$D43</f>
        <v>149902.5</v>
      </c>
      <c r="F43" s="31" t="s">
        <v>35</v>
      </c>
      <c r="G43" s="33">
        <f>'1_TOTAL'!$E43*100/'1_TOTAL'!$E$82</f>
        <v>5.145901449</v>
      </c>
    </row>
    <row r="44" ht="14.25" customHeight="1">
      <c r="A44" s="31">
        <v>39.0</v>
      </c>
      <c r="B44" s="31" t="s">
        <v>78</v>
      </c>
      <c r="C44" s="31">
        <v>4614.0</v>
      </c>
      <c r="D44" s="31">
        <v>10.0</v>
      </c>
      <c r="E44" s="32">
        <f>'1_TOTAL'!$C44*'1_TOTAL'!$D44</f>
        <v>46140</v>
      </c>
      <c r="F44" s="31" t="s">
        <v>35</v>
      </c>
      <c r="G44" s="33">
        <f>'1_TOTAL'!$E44*100/'1_TOTAL'!$E$82</f>
        <v>1.583908827</v>
      </c>
    </row>
    <row r="45" ht="14.25" customHeight="1">
      <c r="A45" s="36">
        <v>9.0</v>
      </c>
      <c r="B45" s="36" t="s">
        <v>79</v>
      </c>
      <c r="C45" s="36">
        <v>596.0</v>
      </c>
      <c r="D45" s="36">
        <v>100.0</v>
      </c>
      <c r="E45" s="37">
        <f>D45*C45</f>
        <v>59600</v>
      </c>
      <c r="F45" s="36" t="s">
        <v>37</v>
      </c>
      <c r="G45" s="38">
        <f>'1_TOTAL'!$E45*100/'1_TOTAL'!$E$82</f>
        <v>2.045968055</v>
      </c>
    </row>
    <row r="46" ht="14.25" customHeight="1">
      <c r="A46" s="36">
        <v>76.0</v>
      </c>
      <c r="B46" s="36" t="s">
        <v>80</v>
      </c>
      <c r="C46" s="36">
        <v>1589.0</v>
      </c>
      <c r="D46" s="36">
        <v>19.0</v>
      </c>
      <c r="E46" s="37">
        <f>'1_TOTAL'!$C46*'1_TOTAL'!$D46</f>
        <v>30191</v>
      </c>
      <c r="F46" s="36" t="s">
        <v>37</v>
      </c>
      <c r="G46" s="38">
        <f>'1_TOTAL'!$E46*100/'1_TOTAL'!$E$82</f>
        <v>1.036406402</v>
      </c>
    </row>
    <row r="47" ht="14.25" customHeight="1">
      <c r="A47" s="31">
        <v>12.0</v>
      </c>
      <c r="B47" s="31" t="s">
        <v>81</v>
      </c>
      <c r="C47" s="31">
        <v>1462.0</v>
      </c>
      <c r="D47" s="31">
        <v>40.0</v>
      </c>
      <c r="E47" s="32">
        <f t="shared" ref="E47:E48" si="7">D47*C47</f>
        <v>58480</v>
      </c>
      <c r="F47" s="31" t="s">
        <v>39</v>
      </c>
      <c r="G47" s="33">
        <f>'1_TOTAL'!$E47*100/'1_TOTAL'!$E$82</f>
        <v>2.007520333</v>
      </c>
    </row>
    <row r="48" ht="14.25" customHeight="1">
      <c r="A48" s="31">
        <v>21.0</v>
      </c>
      <c r="B48" s="31" t="s">
        <v>82</v>
      </c>
      <c r="C48" s="31">
        <v>3857.0</v>
      </c>
      <c r="D48" s="31">
        <v>13.0</v>
      </c>
      <c r="E48" s="32">
        <f t="shared" si="7"/>
        <v>50141</v>
      </c>
      <c r="F48" s="31" t="s">
        <v>39</v>
      </c>
      <c r="G48" s="33">
        <f>'1_TOTAL'!$E48*100/'1_TOTAL'!$E$82</f>
        <v>1.721256447</v>
      </c>
    </row>
    <row r="49" ht="14.25" customHeight="1">
      <c r="A49" s="31">
        <v>24.0</v>
      </c>
      <c r="B49" s="31" t="s">
        <v>83</v>
      </c>
      <c r="C49" s="31">
        <v>100.45</v>
      </c>
      <c r="D49" s="31">
        <v>100.0</v>
      </c>
      <c r="E49" s="32">
        <f>'1_TOTAL'!$C49*'1_TOTAL'!$D49</f>
        <v>10045</v>
      </c>
      <c r="F49" s="31" t="s">
        <v>39</v>
      </c>
      <c r="G49" s="33">
        <f>'1_TOTAL'!$E49*100/'1_TOTAL'!$E$82</f>
        <v>0.3448280052</v>
      </c>
    </row>
    <row r="50" ht="14.25" customHeight="1">
      <c r="A50" s="31">
        <v>28.0</v>
      </c>
      <c r="B50" s="31" t="s">
        <v>84</v>
      </c>
      <c r="C50" s="31">
        <v>1040.0</v>
      </c>
      <c r="D50" s="31">
        <v>25.0</v>
      </c>
      <c r="E50" s="32">
        <f>'1_TOTAL'!$C50*'1_TOTAL'!$D50</f>
        <v>26000</v>
      </c>
      <c r="F50" s="31" t="s">
        <v>39</v>
      </c>
      <c r="G50" s="33">
        <f>'1_TOTAL'!$E50*100/'1_TOTAL'!$E$82</f>
        <v>0.8925363998</v>
      </c>
    </row>
    <row r="51" ht="14.25" customHeight="1">
      <c r="A51" s="31">
        <v>31.0</v>
      </c>
      <c r="B51" s="31" t="s">
        <v>85</v>
      </c>
      <c r="C51" s="31">
        <v>237.37</v>
      </c>
      <c r="D51" s="31">
        <v>50.0</v>
      </c>
      <c r="E51" s="32">
        <f>'1_TOTAL'!$C51*'1_TOTAL'!$D51</f>
        <v>11868.5</v>
      </c>
      <c r="F51" s="31" t="s">
        <v>39</v>
      </c>
      <c r="G51" s="33">
        <f>'1_TOTAL'!$E51*100/'1_TOTAL'!$E$82</f>
        <v>0.4074257024</v>
      </c>
    </row>
    <row r="52" ht="14.25" customHeight="1">
      <c r="A52" s="31">
        <v>34.0</v>
      </c>
      <c r="B52" s="31" t="s">
        <v>86</v>
      </c>
      <c r="C52" s="31">
        <v>484.0</v>
      </c>
      <c r="D52" s="31">
        <v>30.0</v>
      </c>
      <c r="E52" s="32">
        <f>'1_TOTAL'!$C52*'1_TOTAL'!$D52</f>
        <v>14520</v>
      </c>
      <c r="F52" s="31" t="s">
        <v>39</v>
      </c>
      <c r="G52" s="33">
        <f>'1_TOTAL'!$E52*100/'1_TOTAL'!$E$82</f>
        <v>0.498447251</v>
      </c>
    </row>
    <row r="53" ht="14.25" customHeight="1">
      <c r="A53" s="31">
        <v>41.0</v>
      </c>
      <c r="B53" s="31" t="s">
        <v>87</v>
      </c>
      <c r="C53" s="31">
        <v>861.0</v>
      </c>
      <c r="D53" s="31">
        <v>57.0</v>
      </c>
      <c r="E53" s="32">
        <f>'1_TOTAL'!$C53*'1_TOTAL'!$D53</f>
        <v>49077</v>
      </c>
      <c r="F53" s="31" t="s">
        <v>39</v>
      </c>
      <c r="G53" s="33">
        <f>'1_TOTAL'!$E53*100/'1_TOTAL'!$E$82</f>
        <v>1.684731111</v>
      </c>
    </row>
    <row r="54" ht="14.25" customHeight="1">
      <c r="A54" s="31">
        <v>42.0</v>
      </c>
      <c r="B54" s="31" t="s">
        <v>88</v>
      </c>
      <c r="C54" s="31">
        <v>1074.0</v>
      </c>
      <c r="D54" s="31">
        <v>30.0</v>
      </c>
      <c r="E54" s="32">
        <f>'1_TOTAL'!$C54*'1_TOTAL'!$D54</f>
        <v>32220</v>
      </c>
      <c r="F54" s="31" t="s">
        <v>39</v>
      </c>
      <c r="G54" s="33">
        <f>'1_TOTAL'!$E54*100/'1_TOTAL'!$E$82</f>
        <v>1.106058569</v>
      </c>
    </row>
    <row r="55" ht="14.25" customHeight="1">
      <c r="A55" s="31">
        <v>47.0</v>
      </c>
      <c r="B55" s="31" t="s">
        <v>89</v>
      </c>
      <c r="C55" s="31">
        <v>1385.0</v>
      </c>
      <c r="D55" s="31">
        <v>63.0</v>
      </c>
      <c r="E55" s="32">
        <f>'1_TOTAL'!$C55*'1_TOTAL'!$D55</f>
        <v>87255</v>
      </c>
      <c r="F55" s="31" t="s">
        <v>39</v>
      </c>
      <c r="G55" s="33">
        <f>'1_TOTAL'!$E55*100/'1_TOTAL'!$E$82</f>
        <v>2.99531783</v>
      </c>
    </row>
    <row r="56" ht="14.25" customHeight="1">
      <c r="A56" s="31">
        <v>48.0</v>
      </c>
      <c r="B56" s="31" t="s">
        <v>90</v>
      </c>
      <c r="C56" s="31">
        <v>774.0</v>
      </c>
      <c r="D56" s="31">
        <v>100.0</v>
      </c>
      <c r="E56" s="32">
        <f>'1_TOTAL'!$C56*'1_TOTAL'!$D56</f>
        <v>77400</v>
      </c>
      <c r="F56" s="31" t="s">
        <v>39</v>
      </c>
      <c r="G56" s="33">
        <f>'1_TOTAL'!$E56*100/'1_TOTAL'!$E$82</f>
        <v>2.657012206</v>
      </c>
    </row>
    <row r="57" ht="14.25" customHeight="1">
      <c r="A57" s="31">
        <v>49.0</v>
      </c>
      <c r="B57" s="31" t="s">
        <v>91</v>
      </c>
      <c r="C57" s="31">
        <v>605.0</v>
      </c>
      <c r="D57" s="31">
        <v>40.0</v>
      </c>
      <c r="E57" s="32">
        <f>'1_TOTAL'!$C57*'1_TOTAL'!$D57</f>
        <v>24200</v>
      </c>
      <c r="F57" s="31" t="s">
        <v>39</v>
      </c>
      <c r="G57" s="33">
        <f>'1_TOTAL'!$E57*100/'1_TOTAL'!$E$82</f>
        <v>0.8307454183</v>
      </c>
    </row>
    <row r="58" ht="14.25" customHeight="1">
      <c r="A58" s="31">
        <v>56.0</v>
      </c>
      <c r="B58" s="31" t="s">
        <v>92</v>
      </c>
      <c r="C58" s="31">
        <v>524.0</v>
      </c>
      <c r="D58" s="31">
        <v>33.0</v>
      </c>
      <c r="E58" s="32">
        <f>'1_TOTAL'!$C58*'1_TOTAL'!$D58</f>
        <v>17292</v>
      </c>
      <c r="F58" s="31" t="s">
        <v>39</v>
      </c>
      <c r="G58" s="33">
        <f>'1_TOTAL'!$E58*100/'1_TOTAL'!$E$82</f>
        <v>0.5936053625</v>
      </c>
    </row>
    <row r="59" ht="14.25" customHeight="1">
      <c r="A59" s="31">
        <v>70.0</v>
      </c>
      <c r="B59" s="31" t="s">
        <v>93</v>
      </c>
      <c r="C59" s="31">
        <v>6958.0</v>
      </c>
      <c r="D59" s="31">
        <v>2.0</v>
      </c>
      <c r="E59" s="32">
        <f>'1_TOTAL'!$C59*'1_TOTAL'!$D59</f>
        <v>13916</v>
      </c>
      <c r="F59" s="31" t="s">
        <v>39</v>
      </c>
      <c r="G59" s="33">
        <f>'1_TOTAL'!$E59*100/'1_TOTAL'!$E$82</f>
        <v>0.4777129439</v>
      </c>
    </row>
    <row r="60" ht="14.25" customHeight="1">
      <c r="A60" s="31">
        <v>71.0</v>
      </c>
      <c r="B60" s="31" t="s">
        <v>94</v>
      </c>
      <c r="C60" s="31">
        <v>4508.0</v>
      </c>
      <c r="D60" s="31">
        <v>11.0</v>
      </c>
      <c r="E60" s="32">
        <f>'1_TOTAL'!$C60*'1_TOTAL'!$D60</f>
        <v>49588</v>
      </c>
      <c r="F60" s="31" t="s">
        <v>39</v>
      </c>
      <c r="G60" s="33">
        <f>'1_TOTAL'!$E60*100/'1_TOTAL'!$E$82</f>
        <v>1.702272884</v>
      </c>
    </row>
    <row r="61" ht="14.25" customHeight="1">
      <c r="A61" s="39">
        <v>45.0</v>
      </c>
      <c r="B61" s="39" t="s">
        <v>95</v>
      </c>
      <c r="C61" s="39">
        <v>81.0</v>
      </c>
      <c r="D61" s="39">
        <v>500.0</v>
      </c>
      <c r="E61" s="40">
        <f>'1_TOTAL'!$C61*'1_TOTAL'!$D61</f>
        <v>40500</v>
      </c>
      <c r="F61" s="39" t="s">
        <v>41</v>
      </c>
      <c r="G61" s="41">
        <f>'1_TOTAL'!$E61*100/'1_TOTAL'!$E$82</f>
        <v>1.390297084</v>
      </c>
    </row>
    <row r="62" ht="14.25" customHeight="1">
      <c r="A62" s="39">
        <v>80.0</v>
      </c>
      <c r="B62" s="39" t="s">
        <v>96</v>
      </c>
      <c r="C62" s="39">
        <v>170.5</v>
      </c>
      <c r="D62" s="39">
        <v>100.0</v>
      </c>
      <c r="E62" s="40">
        <f>'1_TOTAL'!$C62*'1_TOTAL'!$D62</f>
        <v>17050</v>
      </c>
      <c r="F62" s="39" t="s">
        <v>41</v>
      </c>
      <c r="G62" s="41">
        <f>'1_TOTAL'!$E62*100/'1_TOTAL'!$E$82</f>
        <v>0.5852979084</v>
      </c>
    </row>
    <row r="63" ht="14.25" customHeight="1">
      <c r="A63" s="31">
        <v>7.0</v>
      </c>
      <c r="B63" s="31" t="s">
        <v>97</v>
      </c>
      <c r="C63" s="31">
        <v>1322.0</v>
      </c>
      <c r="D63" s="31">
        <v>40.0</v>
      </c>
      <c r="E63" s="32">
        <f>D63*C63</f>
        <v>52880</v>
      </c>
      <c r="F63" s="31" t="s">
        <v>43</v>
      </c>
      <c r="G63" s="33">
        <f>'1_TOTAL'!$E63*100/'1_TOTAL'!$E$82</f>
        <v>1.815281724</v>
      </c>
    </row>
    <row r="64" ht="14.25" customHeight="1">
      <c r="A64" s="31">
        <v>68.0</v>
      </c>
      <c r="B64" s="31" t="s">
        <v>98</v>
      </c>
      <c r="C64" s="31">
        <v>1193.0</v>
      </c>
      <c r="D64" s="31">
        <v>2.0</v>
      </c>
      <c r="E64" s="32">
        <f>'1_TOTAL'!$C64*'1_TOTAL'!$D64</f>
        <v>2386</v>
      </c>
      <c r="F64" s="31" t="s">
        <v>43</v>
      </c>
      <c r="G64" s="33">
        <f>'1_TOTAL'!$E64*100/'1_TOTAL'!$E$82</f>
        <v>0.08190737885</v>
      </c>
    </row>
    <row r="65" ht="14.25" customHeight="1">
      <c r="A65" s="15">
        <v>75.0</v>
      </c>
      <c r="B65" s="15" t="s">
        <v>99</v>
      </c>
      <c r="C65" s="15">
        <v>271.0</v>
      </c>
      <c r="D65" s="15">
        <v>3.0</v>
      </c>
      <c r="E65" s="16">
        <f>'1_TOTAL'!$C65*'1_TOTAL'!$D65</f>
        <v>813</v>
      </c>
      <c r="F65" s="15" t="s">
        <v>46</v>
      </c>
      <c r="G65" s="17">
        <f>'1_TOTAL'!$E65*100/'1_TOTAL'!$E$82</f>
        <v>0.02790892666</v>
      </c>
    </row>
    <row r="66" ht="14.25" customHeight="1">
      <c r="A66" s="12">
        <v>16.0</v>
      </c>
      <c r="B66" s="12" t="s">
        <v>100</v>
      </c>
      <c r="C66" s="12">
        <v>862.83</v>
      </c>
      <c r="D66" s="12">
        <v>45.0</v>
      </c>
      <c r="E66" s="13">
        <f>D66*C66</f>
        <v>38827.35</v>
      </c>
      <c r="F66" s="12" t="s">
        <v>48</v>
      </c>
      <c r="G66" s="14">
        <f>'1_TOTAL'!$E66*100/'1_TOTAL'!$E$82</f>
        <v>1.332877815</v>
      </c>
    </row>
    <row r="67" ht="14.25" customHeight="1">
      <c r="A67" s="12">
        <v>46.0</v>
      </c>
      <c r="B67" s="12" t="s">
        <v>101</v>
      </c>
      <c r="C67" s="12">
        <v>423.0</v>
      </c>
      <c r="D67" s="12">
        <v>100.0</v>
      </c>
      <c r="E67" s="13">
        <f>'1_TOTAL'!$C67*'1_TOTAL'!$D67</f>
        <v>42300</v>
      </c>
      <c r="F67" s="12" t="s">
        <v>48</v>
      </c>
      <c r="G67" s="14">
        <f>'1_TOTAL'!$E67*100/'1_TOTAL'!$E$82</f>
        <v>1.452088066</v>
      </c>
    </row>
    <row r="68" ht="14.25" customHeight="1">
      <c r="A68" s="42">
        <v>4.0</v>
      </c>
      <c r="B68" s="42" t="s">
        <v>102</v>
      </c>
      <c r="C68" s="42">
        <v>272.52</v>
      </c>
      <c r="D68" s="42">
        <v>100.0</v>
      </c>
      <c r="E68" s="43">
        <f>D68*C68</f>
        <v>27252</v>
      </c>
      <c r="F68" s="42" t="s">
        <v>50</v>
      </c>
      <c r="G68" s="44">
        <f>'1_TOTAL'!$E68*100/'1_TOTAL'!$E$82</f>
        <v>0.9355154603</v>
      </c>
    </row>
    <row r="69" ht="14.25" customHeight="1">
      <c r="A69" s="42">
        <v>79.0</v>
      </c>
      <c r="B69" s="42" t="s">
        <v>103</v>
      </c>
      <c r="C69" s="42">
        <v>1575.0</v>
      </c>
      <c r="D69" s="42">
        <v>16.0</v>
      </c>
      <c r="E69" s="43">
        <f>'1_TOTAL'!$C69*'1_TOTAL'!$D69</f>
        <v>25200</v>
      </c>
      <c r="F69" s="42" t="s">
        <v>50</v>
      </c>
      <c r="G69" s="44">
        <f>'1_TOTAL'!$E69*100/'1_TOTAL'!$E$82</f>
        <v>0.8650737414</v>
      </c>
    </row>
    <row r="70" ht="14.25" customHeight="1">
      <c r="A70" s="15">
        <v>63.0</v>
      </c>
      <c r="B70" s="15" t="s">
        <v>104</v>
      </c>
      <c r="C70" s="15">
        <v>833.0</v>
      </c>
      <c r="D70" s="15">
        <v>31.0</v>
      </c>
      <c r="E70" s="16">
        <f>'1_TOTAL'!$C70*'1_TOTAL'!$D70</f>
        <v>25823</v>
      </c>
      <c r="F70" s="15" t="s">
        <v>105</v>
      </c>
      <c r="G70" s="17">
        <f>'1_TOTAL'!$E70*100/'1_TOTAL'!$E$82</f>
        <v>0.8864602867</v>
      </c>
    </row>
    <row r="71" ht="14.25" customHeight="1">
      <c r="A71" s="15">
        <v>69.0</v>
      </c>
      <c r="B71" s="15" t="s">
        <v>106</v>
      </c>
      <c r="C71" s="15">
        <v>650.0</v>
      </c>
      <c r="D71" s="15">
        <v>20.0</v>
      </c>
      <c r="E71" s="16">
        <f>'1_TOTAL'!$C71*'1_TOTAL'!$D71</f>
        <v>13000</v>
      </c>
      <c r="F71" s="15" t="s">
        <v>107</v>
      </c>
      <c r="G71" s="17">
        <f>'1_TOTAL'!$E71*100/'1_TOTAL'!$E$82</f>
        <v>0.4462681999</v>
      </c>
    </row>
    <row r="72" ht="14.25" customHeight="1">
      <c r="A72" s="45">
        <v>2.0</v>
      </c>
      <c r="B72" s="45" t="s">
        <v>108</v>
      </c>
      <c r="C72" s="45">
        <v>2980.0</v>
      </c>
      <c r="D72" s="45">
        <v>30.0</v>
      </c>
      <c r="E72" s="46">
        <f t="shared" ref="E72:E76" si="8">D72*C72</f>
        <v>89400</v>
      </c>
      <c r="F72" s="45" t="s">
        <v>109</v>
      </c>
      <c r="G72" s="47">
        <f>'1_TOTAL'!$E72*100/'1_TOTAL'!$E$82</f>
        <v>3.068952083</v>
      </c>
    </row>
    <row r="73" ht="14.25" customHeight="1">
      <c r="A73" s="45">
        <v>3.0</v>
      </c>
      <c r="B73" s="45" t="s">
        <v>110</v>
      </c>
      <c r="C73" s="45">
        <v>1916.0</v>
      </c>
      <c r="D73" s="45">
        <v>20.0</v>
      </c>
      <c r="E73" s="46">
        <f t="shared" si="8"/>
        <v>38320</v>
      </c>
      <c r="F73" s="45" t="s">
        <v>109</v>
      </c>
      <c r="G73" s="47">
        <f>'1_TOTAL'!$E73*100/'1_TOTAL'!$E$82</f>
        <v>1.31546134</v>
      </c>
    </row>
    <row r="74" ht="14.25" customHeight="1">
      <c r="A74" s="45">
        <v>17.0</v>
      </c>
      <c r="B74" s="45" t="s">
        <v>111</v>
      </c>
      <c r="C74" s="45">
        <v>2620.0</v>
      </c>
      <c r="D74" s="45">
        <v>30.0</v>
      </c>
      <c r="E74" s="46">
        <f t="shared" si="8"/>
        <v>78600</v>
      </c>
      <c r="F74" s="45" t="s">
        <v>109</v>
      </c>
      <c r="G74" s="47">
        <f>'1_TOTAL'!$E74*100/'1_TOTAL'!$E$82</f>
        <v>2.698206193</v>
      </c>
    </row>
    <row r="75" ht="14.25" customHeight="1">
      <c r="A75" s="45">
        <v>18.0</v>
      </c>
      <c r="B75" s="45" t="s">
        <v>112</v>
      </c>
      <c r="C75" s="45">
        <v>2813.0</v>
      </c>
      <c r="D75" s="45">
        <v>20.0</v>
      </c>
      <c r="E75" s="46">
        <f t="shared" si="8"/>
        <v>56260</v>
      </c>
      <c r="F75" s="45" t="s">
        <v>109</v>
      </c>
      <c r="G75" s="47">
        <f>'1_TOTAL'!$E75*100/'1_TOTAL'!$E$82</f>
        <v>1.931311456</v>
      </c>
    </row>
    <row r="76" ht="14.25" customHeight="1">
      <c r="A76" s="45">
        <v>22.0</v>
      </c>
      <c r="B76" s="45" t="s">
        <v>113</v>
      </c>
      <c r="C76" s="45">
        <v>417.0</v>
      </c>
      <c r="D76" s="45">
        <v>60.0</v>
      </c>
      <c r="E76" s="46">
        <f t="shared" si="8"/>
        <v>25020</v>
      </c>
      <c r="F76" s="45" t="s">
        <v>109</v>
      </c>
      <c r="G76" s="47">
        <f>'1_TOTAL'!$E76*100/'1_TOTAL'!$E$82</f>
        <v>0.8588946432</v>
      </c>
    </row>
    <row r="77" ht="14.25" customHeight="1">
      <c r="A77" s="45">
        <v>32.0</v>
      </c>
      <c r="B77" s="45" t="s">
        <v>114</v>
      </c>
      <c r="C77" s="45">
        <v>842.32</v>
      </c>
      <c r="D77" s="45">
        <v>15.0</v>
      </c>
      <c r="E77" s="46">
        <f>'1_TOTAL'!$C77*'1_TOTAL'!$D77</f>
        <v>12634.8</v>
      </c>
      <c r="F77" s="45" t="s">
        <v>109</v>
      </c>
      <c r="G77" s="47">
        <f>'1_TOTAL'!$E77*100/'1_TOTAL'!$E$82</f>
        <v>0.4337314963</v>
      </c>
    </row>
    <row r="78" ht="14.25" customHeight="1">
      <c r="A78" s="45">
        <v>33.0</v>
      </c>
      <c r="B78" s="45" t="s">
        <v>115</v>
      </c>
      <c r="C78" s="45">
        <v>620.0</v>
      </c>
      <c r="D78" s="45">
        <v>40.0</v>
      </c>
      <c r="E78" s="46">
        <f>'1_TOTAL'!$C78*'1_TOTAL'!$D78</f>
        <v>24800</v>
      </c>
      <c r="F78" s="45" t="s">
        <v>109</v>
      </c>
      <c r="G78" s="47">
        <f>'1_TOTAL'!$E78*100/'1_TOTAL'!$E$82</f>
        <v>0.8513424122</v>
      </c>
    </row>
    <row r="79" ht="14.25" customHeight="1">
      <c r="A79" s="45">
        <v>62.0</v>
      </c>
      <c r="B79" s="45" t="s">
        <v>116</v>
      </c>
      <c r="C79" s="45">
        <v>489.0</v>
      </c>
      <c r="D79" s="45">
        <v>40.0</v>
      </c>
      <c r="E79" s="46">
        <f>'1_TOTAL'!$C79*'1_TOTAL'!$D79</f>
        <v>19560</v>
      </c>
      <c r="F79" s="45" t="s">
        <v>109</v>
      </c>
      <c r="G79" s="47">
        <f>'1_TOTAL'!$E79*100/'1_TOTAL'!$E$82</f>
        <v>0.6714619993</v>
      </c>
    </row>
    <row r="80" ht="14.25" customHeight="1">
      <c r="A80" s="45">
        <v>65.0</v>
      </c>
      <c r="B80" s="45" t="s">
        <v>117</v>
      </c>
      <c r="C80" s="45">
        <v>186.0</v>
      </c>
      <c r="D80" s="45">
        <v>32.0</v>
      </c>
      <c r="E80" s="46">
        <f>'1_TOTAL'!$C80*'1_TOTAL'!$D80</f>
        <v>5952</v>
      </c>
      <c r="F80" s="45" t="s">
        <v>109</v>
      </c>
      <c r="G80" s="47">
        <f>'1_TOTAL'!$E80*100/'1_TOTAL'!$E$82</f>
        <v>0.2043221789</v>
      </c>
    </row>
    <row r="81" ht="14.25" customHeight="1">
      <c r="A81" s="48">
        <v>74.0</v>
      </c>
      <c r="B81" s="45" t="s">
        <v>118</v>
      </c>
      <c r="C81" s="45">
        <v>530.0</v>
      </c>
      <c r="D81" s="45">
        <v>4.0</v>
      </c>
      <c r="E81" s="46">
        <f>'1_TOTAL'!$C81*'1_TOTAL'!$D81</f>
        <v>2120</v>
      </c>
      <c r="F81" s="45" t="s">
        <v>109</v>
      </c>
      <c r="G81" s="47">
        <f>'1_TOTAL'!$E81*100/'1_TOTAL'!$E$82</f>
        <v>0.07277604491</v>
      </c>
    </row>
    <row r="82" ht="14.25" customHeight="1">
      <c r="A82" s="49"/>
      <c r="B82" s="50"/>
      <c r="C82" s="50"/>
      <c r="D82" s="50"/>
      <c r="E82" s="51">
        <f>SUM('1_TOTAL'!$E$2:$E$81)</f>
        <v>2913046.46</v>
      </c>
      <c r="F82" s="50"/>
      <c r="G82" s="50"/>
    </row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headerFooter>
    <oddFooter>&amp;L_x000D_#000000 Sensitivity: LNT Construction Internal Use</oddFooter>
  </headerFooter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57"/>
    <col customWidth="1" min="3" max="4" width="12.57"/>
    <col customWidth="1" min="5" max="5" width="11.14"/>
    <col customWidth="1" min="6" max="6" width="18.14"/>
    <col customWidth="1" min="7" max="7" width="15.29"/>
    <col customWidth="1" min="8" max="8" width="6.57"/>
    <col customWidth="1" min="9" max="9" width="17.14"/>
    <col customWidth="1" min="10" max="10" width="22.57"/>
    <col customWidth="1" min="11" max="11" width="9.43"/>
    <col customWidth="1" min="12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I1" s="3" t="s">
        <v>7</v>
      </c>
      <c r="J1" s="4" t="s">
        <v>8</v>
      </c>
      <c r="K1" s="5" t="s">
        <v>4</v>
      </c>
    </row>
    <row r="2" ht="14.25" customHeight="1">
      <c r="A2" s="6">
        <v>23.0</v>
      </c>
      <c r="B2" s="6" t="s">
        <v>9</v>
      </c>
      <c r="C2" s="6">
        <v>505.0</v>
      </c>
      <c r="D2" s="6">
        <v>70.0</v>
      </c>
      <c r="E2" s="7">
        <f>D2*C2</f>
        <v>35350</v>
      </c>
      <c r="F2" s="6" t="s">
        <v>10</v>
      </c>
      <c r="G2" s="8">
        <f>'2_SECTOR WISE'!$E2*100/'2_SECTOR WISE'!$E$82</f>
        <v>1.213506221</v>
      </c>
      <c r="I2" s="9" t="s">
        <v>10</v>
      </c>
      <c r="J2" s="10">
        <f>SUM(G2:G3)</f>
        <v>1.768938488</v>
      </c>
      <c r="K2" s="11">
        <f>SUM(E2:E3)</f>
        <v>51530</v>
      </c>
    </row>
    <row r="3" ht="14.25" customHeight="1">
      <c r="A3" s="6">
        <v>52.0</v>
      </c>
      <c r="B3" s="6" t="s">
        <v>11</v>
      </c>
      <c r="C3" s="6">
        <v>809.0</v>
      </c>
      <c r="D3" s="6">
        <v>20.0</v>
      </c>
      <c r="E3" s="7">
        <f>'2_SECTOR WISE'!$C3*'2_SECTOR WISE'!$D3</f>
        <v>16180</v>
      </c>
      <c r="F3" s="6" t="s">
        <v>10</v>
      </c>
      <c r="G3" s="8">
        <f>'2_SECTOR WISE'!$E3*100/'2_SECTOR WISE'!$E$82</f>
        <v>0.5554322673</v>
      </c>
      <c r="I3" s="9" t="s">
        <v>12</v>
      </c>
      <c r="J3" s="10">
        <f>SUM(G4:G9)</f>
        <v>4.735592168</v>
      </c>
      <c r="K3" s="11">
        <f>SUM(E4:E9)</f>
        <v>137950</v>
      </c>
    </row>
    <row r="4" ht="14.25" customHeight="1">
      <c r="A4" s="12">
        <v>51.0</v>
      </c>
      <c r="B4" s="12" t="s">
        <v>20</v>
      </c>
      <c r="C4" s="12">
        <v>748.0</v>
      </c>
      <c r="D4" s="12">
        <v>55.0</v>
      </c>
      <c r="E4" s="13">
        <f>'2_SECTOR WISE'!$C4*'2_SECTOR WISE'!$D4</f>
        <v>41140</v>
      </c>
      <c r="F4" s="12" t="s">
        <v>14</v>
      </c>
      <c r="G4" s="14">
        <f>'2_SECTOR WISE'!$E4*100/'2_SECTOR WISE'!$E$82</f>
        <v>1.412267211</v>
      </c>
      <c r="I4" s="9" t="s">
        <v>15</v>
      </c>
      <c r="J4" s="10">
        <f>G10</f>
        <v>0.7830290493</v>
      </c>
      <c r="K4" s="11">
        <f>E10</f>
        <v>22810</v>
      </c>
    </row>
    <row r="5" ht="14.25" customHeight="1">
      <c r="A5" s="12">
        <v>44.0</v>
      </c>
      <c r="B5" s="12" t="s">
        <v>18</v>
      </c>
      <c r="C5" s="12">
        <v>400.0</v>
      </c>
      <c r="D5" s="12">
        <v>100.0</v>
      </c>
      <c r="E5" s="13">
        <f>'2_SECTOR WISE'!$C5*'2_SECTOR WISE'!$D5</f>
        <v>40000</v>
      </c>
      <c r="F5" s="12" t="s">
        <v>14</v>
      </c>
      <c r="G5" s="14">
        <f>'2_SECTOR WISE'!$E5*100/'2_SECTOR WISE'!$E$82</f>
        <v>1.373132923</v>
      </c>
      <c r="I5" s="9" t="s">
        <v>17</v>
      </c>
      <c r="J5" s="10">
        <f>SUM(G11:G17)</f>
        <v>14.92018771</v>
      </c>
      <c r="K5" s="11">
        <f>SUM(E11:E17)</f>
        <v>434632</v>
      </c>
    </row>
    <row r="6" ht="14.25" customHeight="1">
      <c r="A6" s="12">
        <v>38.0</v>
      </c>
      <c r="B6" s="12" t="s">
        <v>16</v>
      </c>
      <c r="C6" s="12">
        <v>1033.0</v>
      </c>
      <c r="D6" s="12">
        <v>20.0</v>
      </c>
      <c r="E6" s="13">
        <f>'2_SECTOR WISE'!$C6*'2_SECTOR WISE'!$D6</f>
        <v>20660</v>
      </c>
      <c r="F6" s="12" t="s">
        <v>14</v>
      </c>
      <c r="G6" s="14">
        <f>'2_SECTOR WISE'!$E6*100/'2_SECTOR WISE'!$E$82</f>
        <v>0.7092231546</v>
      </c>
      <c r="I6" s="9" t="s">
        <v>19</v>
      </c>
      <c r="J6" s="10">
        <f>SUM(G18:G23)</f>
        <v>7.857821808</v>
      </c>
      <c r="K6" s="11">
        <f>SUM(E18:E23)</f>
        <v>228902</v>
      </c>
    </row>
    <row r="7" ht="14.25" customHeight="1">
      <c r="A7" s="12">
        <v>53.0</v>
      </c>
      <c r="B7" s="12" t="s">
        <v>22</v>
      </c>
      <c r="C7" s="12">
        <v>25.0</v>
      </c>
      <c r="D7" s="12">
        <v>548.0</v>
      </c>
      <c r="E7" s="13">
        <f>'2_SECTOR WISE'!$C7*'2_SECTOR WISE'!$D7</f>
        <v>13700</v>
      </c>
      <c r="F7" s="12" t="s">
        <v>14</v>
      </c>
      <c r="G7" s="14">
        <f>'2_SECTOR WISE'!$E7*100/'2_SECTOR WISE'!$E$82</f>
        <v>0.4702980261</v>
      </c>
      <c r="I7" s="9" t="s">
        <v>21</v>
      </c>
      <c r="J7" s="10">
        <f>G24</f>
        <v>0.5602382325</v>
      </c>
      <c r="K7" s="11">
        <f>E24</f>
        <v>16320</v>
      </c>
    </row>
    <row r="8" ht="14.25" customHeight="1">
      <c r="A8" s="12">
        <v>77.0</v>
      </c>
      <c r="B8" s="12" t="s">
        <v>24</v>
      </c>
      <c r="C8" s="12">
        <v>570.0</v>
      </c>
      <c r="D8" s="12">
        <v>21.0</v>
      </c>
      <c r="E8" s="13">
        <f>'2_SECTOR WISE'!$C8*'2_SECTOR WISE'!$D8</f>
        <v>11970</v>
      </c>
      <c r="F8" s="12" t="s">
        <v>14</v>
      </c>
      <c r="G8" s="14">
        <f>'2_SECTOR WISE'!$E8*100/'2_SECTOR WISE'!$E$82</f>
        <v>0.4109100272</v>
      </c>
      <c r="I8" s="9" t="s">
        <v>23</v>
      </c>
      <c r="J8" s="10">
        <f>SUM(G25:G27)</f>
        <v>3.120320985</v>
      </c>
      <c r="K8" s="11">
        <f>SUM(E25:E27)</f>
        <v>90896.4</v>
      </c>
    </row>
    <row r="9" ht="14.25" customHeight="1">
      <c r="A9" s="12">
        <v>29.0</v>
      </c>
      <c r="B9" s="12" t="s">
        <v>13</v>
      </c>
      <c r="C9" s="12">
        <v>524.0</v>
      </c>
      <c r="D9" s="12">
        <v>20.0</v>
      </c>
      <c r="E9" s="13">
        <f>'2_SECTOR WISE'!$C9*'2_SECTOR WISE'!$D9</f>
        <v>10480</v>
      </c>
      <c r="F9" s="12" t="s">
        <v>14</v>
      </c>
      <c r="G9" s="14">
        <f>'2_SECTOR WISE'!$E9*100/'2_SECTOR WISE'!$E$82</f>
        <v>0.3597608258</v>
      </c>
      <c r="I9" s="9" t="s">
        <v>25</v>
      </c>
      <c r="J9" s="10">
        <f>G28</f>
        <v>1.190506244</v>
      </c>
      <c r="K9" s="11">
        <f>E28</f>
        <v>34680</v>
      </c>
    </row>
    <row r="10" ht="14.25" customHeight="1">
      <c r="A10" s="15">
        <v>78.0</v>
      </c>
      <c r="B10" s="15" t="s">
        <v>26</v>
      </c>
      <c r="C10" s="15">
        <v>4562.0</v>
      </c>
      <c r="D10" s="15">
        <v>5.0</v>
      </c>
      <c r="E10" s="16">
        <f>'2_SECTOR WISE'!$C10*'2_SECTOR WISE'!$D10</f>
        <v>22810</v>
      </c>
      <c r="F10" s="15" t="s">
        <v>27</v>
      </c>
      <c r="G10" s="17">
        <f>'2_SECTOR WISE'!$E10*100/'2_SECTOR WISE'!$E$82</f>
        <v>0.7830290493</v>
      </c>
      <c r="I10" s="9" t="s">
        <v>28</v>
      </c>
      <c r="J10" s="10">
        <f>SUM(G29:G31)</f>
        <v>1.98342185</v>
      </c>
      <c r="K10" s="11">
        <f>SUM(E29:E31)</f>
        <v>57778</v>
      </c>
    </row>
    <row r="11" ht="14.25" customHeight="1">
      <c r="A11" s="18">
        <v>8.0</v>
      </c>
      <c r="B11" s="18" t="s">
        <v>29</v>
      </c>
      <c r="C11" s="18">
        <v>1518.9</v>
      </c>
      <c r="D11" s="18">
        <v>100.0</v>
      </c>
      <c r="E11" s="19">
        <f t="shared" ref="E11:E13" si="1">D11*C11</f>
        <v>151890</v>
      </c>
      <c r="F11" s="18" t="s">
        <v>30</v>
      </c>
      <c r="G11" s="20">
        <f>'2_SECTOR WISE'!$E11*100/'2_SECTOR WISE'!$E$82</f>
        <v>5.214128991</v>
      </c>
      <c r="I11" s="9" t="s">
        <v>31</v>
      </c>
      <c r="J11" s="10">
        <f>G32</f>
        <v>0.7818618863</v>
      </c>
      <c r="K11" s="11">
        <f>E32</f>
        <v>22776</v>
      </c>
    </row>
    <row r="12" ht="14.25" customHeight="1">
      <c r="A12" s="18">
        <v>15.0</v>
      </c>
      <c r="B12" s="18" t="s">
        <v>34</v>
      </c>
      <c r="C12" s="18">
        <v>1752.0</v>
      </c>
      <c r="D12" s="18">
        <v>71.0</v>
      </c>
      <c r="E12" s="19">
        <f t="shared" si="1"/>
        <v>124392</v>
      </c>
      <c r="F12" s="18" t="s">
        <v>30</v>
      </c>
      <c r="G12" s="20">
        <f>'2_SECTOR WISE'!$E12*100/'2_SECTOR WISE'!$E$82</f>
        <v>4.270168763</v>
      </c>
      <c r="I12" s="9" t="s">
        <v>33</v>
      </c>
      <c r="J12" s="21">
        <f>SUM(G33:G41)</f>
        <v>9.328993332</v>
      </c>
      <c r="K12" s="11">
        <f>SUM(E33:E41)</f>
        <v>271757.91</v>
      </c>
    </row>
    <row r="13" ht="14.25" customHeight="1">
      <c r="A13" s="18">
        <v>11.0</v>
      </c>
      <c r="B13" s="18" t="s">
        <v>32</v>
      </c>
      <c r="C13" s="18">
        <v>81.17</v>
      </c>
      <c r="D13" s="18">
        <v>700.0</v>
      </c>
      <c r="E13" s="19">
        <f t="shared" si="1"/>
        <v>56819</v>
      </c>
      <c r="F13" s="18" t="s">
        <v>30</v>
      </c>
      <c r="G13" s="20">
        <f>'2_SECTOR WISE'!$E13*100/'2_SECTOR WISE'!$E$82</f>
        <v>1.950500989</v>
      </c>
      <c r="I13" s="9" t="s">
        <v>35</v>
      </c>
      <c r="J13" s="10">
        <f>SUM(G42:G44)</f>
        <v>10.04180689</v>
      </c>
      <c r="K13" s="11">
        <f>SUM(E42:E44)</f>
        <v>292522.5</v>
      </c>
    </row>
    <row r="14" ht="14.25" customHeight="1">
      <c r="A14" s="18">
        <v>67.0</v>
      </c>
      <c r="B14" s="18" t="s">
        <v>42</v>
      </c>
      <c r="C14" s="18">
        <v>1186.0</v>
      </c>
      <c r="D14" s="18">
        <v>36.0</v>
      </c>
      <c r="E14" s="19">
        <f>'2_SECTOR WISE'!$C14*'2_SECTOR WISE'!$D14</f>
        <v>42696</v>
      </c>
      <c r="F14" s="18" t="s">
        <v>30</v>
      </c>
      <c r="G14" s="20">
        <f>'2_SECTOR WISE'!$E14*100/'2_SECTOR WISE'!$E$82</f>
        <v>1.465682082</v>
      </c>
      <c r="I14" s="9" t="s">
        <v>37</v>
      </c>
      <c r="J14" s="10">
        <f>SUM(G45:G46)</f>
        <v>3.082374457</v>
      </c>
      <c r="K14" s="11">
        <f>SUM(E45:E46)</f>
        <v>89791</v>
      </c>
    </row>
    <row r="15" ht="14.25" customHeight="1">
      <c r="A15" s="18">
        <v>66.0</v>
      </c>
      <c r="B15" s="18" t="s">
        <v>40</v>
      </c>
      <c r="C15" s="18">
        <v>1175.0</v>
      </c>
      <c r="D15" s="18">
        <v>27.0</v>
      </c>
      <c r="E15" s="19">
        <f>'2_SECTOR WISE'!$C15*'2_SECTOR WISE'!$D15</f>
        <v>31725</v>
      </c>
      <c r="F15" s="18" t="s">
        <v>30</v>
      </c>
      <c r="G15" s="20">
        <f>'2_SECTOR WISE'!$E15*100/'2_SECTOR WISE'!$E$82</f>
        <v>1.089066049</v>
      </c>
      <c r="I15" s="9" t="s">
        <v>39</v>
      </c>
      <c r="J15" s="10">
        <f>SUM(G47:G60)</f>
        <v>17.91947046</v>
      </c>
      <c r="K15" s="11">
        <f>SUM(E47:E60)</f>
        <v>522002.5</v>
      </c>
    </row>
    <row r="16" ht="14.25" customHeight="1">
      <c r="A16" s="18">
        <v>55.0</v>
      </c>
      <c r="B16" s="18" t="s">
        <v>36</v>
      </c>
      <c r="C16" s="18">
        <v>230.0</v>
      </c>
      <c r="D16" s="18">
        <v>100.0</v>
      </c>
      <c r="E16" s="19">
        <f>'2_SECTOR WISE'!$C16*'2_SECTOR WISE'!$D16</f>
        <v>23000</v>
      </c>
      <c r="F16" s="18" t="s">
        <v>30</v>
      </c>
      <c r="G16" s="20">
        <f>'2_SECTOR WISE'!$E16*100/'2_SECTOR WISE'!$E$82</f>
        <v>0.7895514306</v>
      </c>
      <c r="I16" s="9" t="s">
        <v>41</v>
      </c>
      <c r="J16" s="10">
        <f>SUM(G61:G62)</f>
        <v>1.975594993</v>
      </c>
      <c r="K16" s="11">
        <f>SUM(E61:E62)</f>
        <v>57550</v>
      </c>
    </row>
    <row r="17" ht="14.25" customHeight="1">
      <c r="A17" s="18">
        <v>64.0</v>
      </c>
      <c r="B17" s="18" t="s">
        <v>38</v>
      </c>
      <c r="C17" s="18">
        <v>137.0</v>
      </c>
      <c r="D17" s="18">
        <v>30.0</v>
      </c>
      <c r="E17" s="19">
        <f>'2_SECTOR WISE'!$C17*'2_SECTOR WISE'!$D17</f>
        <v>4110</v>
      </c>
      <c r="F17" s="18" t="s">
        <v>30</v>
      </c>
      <c r="G17" s="20">
        <f>'2_SECTOR WISE'!$E17*100/'2_SECTOR WISE'!$E$82</f>
        <v>0.1410894078</v>
      </c>
      <c r="I17" s="9" t="s">
        <v>43</v>
      </c>
      <c r="J17" s="10">
        <f>SUM(G63:G64)</f>
        <v>1.897189103</v>
      </c>
      <c r="K17" s="11">
        <f>SUM(E63:E64)</f>
        <v>55266</v>
      </c>
    </row>
    <row r="18" ht="14.25" customHeight="1">
      <c r="A18" s="22">
        <v>20.0</v>
      </c>
      <c r="B18" s="22" t="s">
        <v>51</v>
      </c>
      <c r="C18" s="22">
        <v>1525.0</v>
      </c>
      <c r="D18" s="22">
        <v>50.0</v>
      </c>
      <c r="E18" s="23">
        <f t="shared" ref="E18:E21" si="2">D18*C18</f>
        <v>76250</v>
      </c>
      <c r="F18" s="22" t="s">
        <v>45</v>
      </c>
      <c r="G18" s="24">
        <f>'2_SECTOR WISE'!$E18*100/'2_SECTOR WISE'!$E$82</f>
        <v>2.617534634</v>
      </c>
      <c r="I18" s="9" t="s">
        <v>46</v>
      </c>
      <c r="J18" s="10">
        <f>G65</f>
        <v>0.02790892666</v>
      </c>
      <c r="K18" s="11">
        <f>E65</f>
        <v>813</v>
      </c>
    </row>
    <row r="19" ht="14.25" customHeight="1">
      <c r="A19" s="22">
        <v>5.0</v>
      </c>
      <c r="B19" s="22" t="s">
        <v>47</v>
      </c>
      <c r="C19" s="22">
        <v>1535.0</v>
      </c>
      <c r="D19" s="22">
        <v>45.0</v>
      </c>
      <c r="E19" s="23">
        <f t="shared" si="2"/>
        <v>69075</v>
      </c>
      <c r="F19" s="22" t="s">
        <v>45</v>
      </c>
      <c r="G19" s="24">
        <f>'2_SECTOR WISE'!$E19*100/'2_SECTOR WISE'!$E$82</f>
        <v>2.371228916</v>
      </c>
      <c r="I19" s="9" t="s">
        <v>48</v>
      </c>
      <c r="J19" s="10">
        <f>SUM(G66:G67)</f>
        <v>2.784965881</v>
      </c>
      <c r="K19" s="11">
        <f>SUM(E66:E67)</f>
        <v>81127.35</v>
      </c>
    </row>
    <row r="20" ht="14.25" customHeight="1">
      <c r="A20" s="22">
        <v>1.0</v>
      </c>
      <c r="B20" s="22" t="s">
        <v>44</v>
      </c>
      <c r="C20" s="22">
        <v>2378.0</v>
      </c>
      <c r="D20" s="22">
        <v>18.0</v>
      </c>
      <c r="E20" s="23">
        <f t="shared" si="2"/>
        <v>42804</v>
      </c>
      <c r="F20" s="22" t="s">
        <v>45</v>
      </c>
      <c r="G20" s="24">
        <f>'2_SECTOR WISE'!$E20*100/'2_SECTOR WISE'!$E$82</f>
        <v>1.469389541</v>
      </c>
      <c r="I20" s="9" t="s">
        <v>50</v>
      </c>
      <c r="J20" s="10">
        <f>SUM(G68:G69)</f>
        <v>1.800589202</v>
      </c>
      <c r="K20" s="11">
        <f>SUM(E68:E69)</f>
        <v>52452</v>
      </c>
    </row>
    <row r="21" ht="14.25" customHeight="1">
      <c r="A21" s="22">
        <v>6.0</v>
      </c>
      <c r="B21" s="22" t="s">
        <v>49</v>
      </c>
      <c r="C21" s="22">
        <v>2793.0</v>
      </c>
      <c r="D21" s="22">
        <v>9.0</v>
      </c>
      <c r="E21" s="23">
        <f t="shared" si="2"/>
        <v>25137</v>
      </c>
      <c r="F21" s="22" t="s">
        <v>45</v>
      </c>
      <c r="G21" s="24">
        <f>'2_SECTOR WISE'!$E21*100/'2_SECTOR WISE'!$E$82</f>
        <v>0.862911057</v>
      </c>
      <c r="I21" s="9" t="s">
        <v>52</v>
      </c>
      <c r="J21" s="10">
        <f t="shared" ref="J21:J22" si="3">G70</f>
        <v>0.8864602867</v>
      </c>
      <c r="K21" s="11">
        <f t="shared" ref="K21:K22" si="4">E70</f>
        <v>25823</v>
      </c>
    </row>
    <row r="22" ht="14.25" customHeight="1">
      <c r="A22" s="22">
        <v>61.0</v>
      </c>
      <c r="B22" s="22" t="s">
        <v>55</v>
      </c>
      <c r="C22" s="22">
        <v>2220.0</v>
      </c>
      <c r="D22" s="22">
        <v>4.0</v>
      </c>
      <c r="E22" s="23">
        <f>'2_SECTOR WISE'!$C22*'2_SECTOR WISE'!$D22</f>
        <v>8880</v>
      </c>
      <c r="F22" s="22" t="s">
        <v>45</v>
      </c>
      <c r="G22" s="24">
        <f>'2_SECTOR WISE'!$E22*100/'2_SECTOR WISE'!$E$82</f>
        <v>0.3048355089</v>
      </c>
      <c r="I22" s="9" t="s">
        <v>54</v>
      </c>
      <c r="J22" s="10">
        <f t="shared" si="3"/>
        <v>0.4462681999</v>
      </c>
      <c r="K22" s="11">
        <f t="shared" si="4"/>
        <v>13000</v>
      </c>
    </row>
    <row r="23" ht="14.25" customHeight="1">
      <c r="A23" s="22">
        <v>60.0</v>
      </c>
      <c r="B23" s="22" t="s">
        <v>53</v>
      </c>
      <c r="C23" s="22">
        <v>1126.0</v>
      </c>
      <c r="D23" s="22">
        <v>6.0</v>
      </c>
      <c r="E23" s="23">
        <f>'2_SECTOR WISE'!$C23*'2_SECTOR WISE'!$D23</f>
        <v>6756</v>
      </c>
      <c r="F23" s="22" t="s">
        <v>45</v>
      </c>
      <c r="G23" s="24">
        <f>'2_SECTOR WISE'!$E23*100/'2_SECTOR WISE'!$E$82</f>
        <v>0.2319221507</v>
      </c>
      <c r="I23" s="9" t="s">
        <v>56</v>
      </c>
      <c r="J23" s="10">
        <f>SUM(G72:G81)</f>
        <v>12.10645985</v>
      </c>
      <c r="K23" s="11">
        <f>SUM(E72:E81)</f>
        <v>352666.8</v>
      </c>
    </row>
    <row r="24" ht="14.25" customHeight="1">
      <c r="A24" s="15">
        <v>36.0</v>
      </c>
      <c r="B24" s="15" t="s">
        <v>57</v>
      </c>
      <c r="C24" s="15">
        <v>544.0</v>
      </c>
      <c r="D24" s="15">
        <v>30.0</v>
      </c>
      <c r="E24" s="16">
        <f>'2_SECTOR WISE'!$C24*'2_SECTOR WISE'!$D24</f>
        <v>16320</v>
      </c>
      <c r="F24" s="15" t="s">
        <v>21</v>
      </c>
      <c r="G24" s="17">
        <f>'2_SECTOR WISE'!$E24*100/'2_SECTOR WISE'!$E$82</f>
        <v>0.5602382325</v>
      </c>
      <c r="I24" s="25"/>
      <c r="J24" s="26"/>
      <c r="K24" s="27"/>
    </row>
    <row r="25" ht="14.25" customHeight="1">
      <c r="A25" s="12">
        <v>73.0</v>
      </c>
      <c r="B25" s="12" t="s">
        <v>61</v>
      </c>
      <c r="C25" s="12">
        <v>3627.0</v>
      </c>
      <c r="D25" s="12">
        <v>15.0</v>
      </c>
      <c r="E25" s="13">
        <f>'2_SECTOR WISE'!$C25*'2_SECTOR WISE'!$D25</f>
        <v>54405</v>
      </c>
      <c r="F25" s="12" t="s">
        <v>23</v>
      </c>
      <c r="G25" s="14">
        <f>'2_SECTOR WISE'!$E25*100/'2_SECTOR WISE'!$E$82</f>
        <v>1.867632417</v>
      </c>
      <c r="I25" s="28"/>
      <c r="J25" s="28"/>
      <c r="K25" s="28"/>
    </row>
    <row r="26" ht="14.25" customHeight="1">
      <c r="A26" s="12">
        <v>50.0</v>
      </c>
      <c r="B26" s="12" t="s">
        <v>59</v>
      </c>
      <c r="C26" s="12">
        <v>1316.22</v>
      </c>
      <c r="D26" s="12">
        <v>20.0</v>
      </c>
      <c r="E26" s="13">
        <f>'2_SECTOR WISE'!$C26*'2_SECTOR WISE'!$D26</f>
        <v>26324.4</v>
      </c>
      <c r="F26" s="12" t="s">
        <v>23</v>
      </c>
      <c r="G26" s="14">
        <f>'2_SECTOR WISE'!$E26*100/'2_SECTOR WISE'!$E$82</f>
        <v>0.9036725079</v>
      </c>
      <c r="I26" s="28" t="s">
        <v>60</v>
      </c>
      <c r="J26" s="29">
        <f t="shared" ref="J26:K26" si="5">SUM(J2:J23)</f>
        <v>100</v>
      </c>
      <c r="K26" s="30">
        <f t="shared" si="5"/>
        <v>2913046.46</v>
      </c>
    </row>
    <row r="27" ht="14.25" customHeight="1">
      <c r="A27" s="12">
        <v>27.0</v>
      </c>
      <c r="B27" s="12" t="s">
        <v>58</v>
      </c>
      <c r="C27" s="12">
        <v>338.9</v>
      </c>
      <c r="D27" s="12">
        <v>30.0</v>
      </c>
      <c r="E27" s="13">
        <f>'2_SECTOR WISE'!$C27*'2_SECTOR WISE'!$D27</f>
        <v>10167</v>
      </c>
      <c r="F27" s="12" t="s">
        <v>23</v>
      </c>
      <c r="G27" s="14">
        <f>'2_SECTOR WISE'!$E27*100/'2_SECTOR WISE'!$E$82</f>
        <v>0.3490160607</v>
      </c>
    </row>
    <row r="28" ht="14.25" customHeight="1">
      <c r="A28" s="15">
        <v>43.0</v>
      </c>
      <c r="B28" s="15" t="s">
        <v>62</v>
      </c>
      <c r="C28" s="15">
        <v>1734.0</v>
      </c>
      <c r="D28" s="15">
        <v>20.0</v>
      </c>
      <c r="E28" s="16">
        <f>'2_SECTOR WISE'!$C28*'2_SECTOR WISE'!$D28</f>
        <v>34680</v>
      </c>
      <c r="F28" s="15" t="s">
        <v>25</v>
      </c>
      <c r="G28" s="17">
        <f>'2_SECTOR WISE'!$E28*100/'2_SECTOR WISE'!$E$82</f>
        <v>1.190506244</v>
      </c>
    </row>
    <row r="29" ht="14.25" customHeight="1">
      <c r="A29" s="31">
        <v>40.0</v>
      </c>
      <c r="B29" s="31" t="s">
        <v>63</v>
      </c>
      <c r="C29" s="31">
        <v>80.0</v>
      </c>
      <c r="D29" s="31">
        <v>281.0</v>
      </c>
      <c r="E29" s="32">
        <f>'2_SECTOR WISE'!$C29*'2_SECTOR WISE'!$D29</f>
        <v>22480</v>
      </c>
      <c r="F29" s="31" t="s">
        <v>28</v>
      </c>
      <c r="G29" s="33">
        <f>'2_SECTOR WISE'!$E29*100/'2_SECTOR WISE'!$E$82</f>
        <v>0.7717007026</v>
      </c>
    </row>
    <row r="30" ht="14.25" customHeight="1">
      <c r="A30" s="31">
        <v>54.0</v>
      </c>
      <c r="B30" s="31" t="s">
        <v>64</v>
      </c>
      <c r="C30" s="31">
        <v>283.0</v>
      </c>
      <c r="D30" s="31">
        <v>70.0</v>
      </c>
      <c r="E30" s="32">
        <f>'2_SECTOR WISE'!$C30*'2_SECTOR WISE'!$D30</f>
        <v>19810</v>
      </c>
      <c r="F30" s="31" t="s">
        <v>28</v>
      </c>
      <c r="G30" s="33">
        <f>'2_SECTOR WISE'!$E30*100/'2_SECTOR WISE'!$E$82</f>
        <v>0.68004408</v>
      </c>
    </row>
    <row r="31" ht="14.25" customHeight="1">
      <c r="A31" s="31">
        <v>58.0</v>
      </c>
      <c r="B31" s="31" t="s">
        <v>65</v>
      </c>
      <c r="C31" s="31">
        <v>704.0</v>
      </c>
      <c r="D31" s="31">
        <v>22.0</v>
      </c>
      <c r="E31" s="32">
        <f>'2_SECTOR WISE'!$C31*'2_SECTOR WISE'!$D31</f>
        <v>15488</v>
      </c>
      <c r="F31" s="31" t="s">
        <v>28</v>
      </c>
      <c r="G31" s="33">
        <f>'2_SECTOR WISE'!$E31*100/'2_SECTOR WISE'!$E$82</f>
        <v>0.5316770677</v>
      </c>
    </row>
    <row r="32" ht="14.25" customHeight="1">
      <c r="A32" s="15">
        <v>59.0</v>
      </c>
      <c r="B32" s="15" t="s">
        <v>66</v>
      </c>
      <c r="C32" s="15">
        <v>438.0</v>
      </c>
      <c r="D32" s="15">
        <v>52.0</v>
      </c>
      <c r="E32" s="16">
        <f>'2_SECTOR WISE'!$C32*'2_SECTOR WISE'!$D32</f>
        <v>22776</v>
      </c>
      <c r="F32" s="15" t="s">
        <v>31</v>
      </c>
      <c r="G32" s="17">
        <f>'2_SECTOR WISE'!$E32*100/'2_SECTOR WISE'!$E$82</f>
        <v>0.7818618863</v>
      </c>
      <c r="H32" s="34"/>
    </row>
    <row r="33" ht="14.25" customHeight="1">
      <c r="A33" s="12">
        <v>19.0</v>
      </c>
      <c r="B33" s="12" t="s">
        <v>68</v>
      </c>
      <c r="C33" s="12">
        <v>728.0</v>
      </c>
      <c r="D33" s="12">
        <v>91.0</v>
      </c>
      <c r="E33" s="13">
        <f t="shared" ref="E33:E34" si="6">D33*C33</f>
        <v>66248</v>
      </c>
      <c r="F33" s="12" t="s">
        <v>33</v>
      </c>
      <c r="G33" s="14">
        <f>'2_SECTOR WISE'!$E33*100/'2_SECTOR WISE'!$E$82</f>
        <v>2.274182747</v>
      </c>
    </row>
    <row r="34" ht="14.25" customHeight="1">
      <c r="A34" s="12">
        <v>14.0</v>
      </c>
      <c r="B34" s="12" t="s">
        <v>67</v>
      </c>
      <c r="C34" s="12">
        <v>240.33</v>
      </c>
      <c r="D34" s="12">
        <v>225.0</v>
      </c>
      <c r="E34" s="13">
        <f t="shared" si="6"/>
        <v>54074.25</v>
      </c>
      <c r="F34" s="12" t="s">
        <v>33</v>
      </c>
      <c r="G34" s="14">
        <f>'2_SECTOR WISE'!$E34*100/'2_SECTOR WISE'!$E$82</f>
        <v>1.856278324</v>
      </c>
      <c r="H34" s="35"/>
    </row>
    <row r="35" ht="14.25" customHeight="1">
      <c r="A35" s="12">
        <v>72.0</v>
      </c>
      <c r="B35" s="12" t="s">
        <v>75</v>
      </c>
      <c r="C35" s="12">
        <v>6766.0</v>
      </c>
      <c r="D35" s="12">
        <v>7.0</v>
      </c>
      <c r="E35" s="13">
        <f>'2_SECTOR WISE'!$C35*'2_SECTOR WISE'!$D35</f>
        <v>47362</v>
      </c>
      <c r="F35" s="12" t="s">
        <v>33</v>
      </c>
      <c r="G35" s="14">
        <f>'2_SECTOR WISE'!$E35*100/'2_SECTOR WISE'!$E$82</f>
        <v>1.625858037</v>
      </c>
    </row>
    <row r="36" ht="14.25" customHeight="1">
      <c r="A36" s="12">
        <v>35.0</v>
      </c>
      <c r="B36" s="12" t="s">
        <v>72</v>
      </c>
      <c r="C36" s="12">
        <v>1543.0</v>
      </c>
      <c r="D36" s="12">
        <v>20.0</v>
      </c>
      <c r="E36" s="13">
        <f>'2_SECTOR WISE'!$C36*'2_SECTOR WISE'!$D36</f>
        <v>30860</v>
      </c>
      <c r="F36" s="12" t="s">
        <v>33</v>
      </c>
      <c r="G36" s="14">
        <f>'2_SECTOR WISE'!$E36*100/'2_SECTOR WISE'!$E$82</f>
        <v>1.05937205</v>
      </c>
    </row>
    <row r="37" ht="14.25" customHeight="1">
      <c r="A37" s="12">
        <v>57.0</v>
      </c>
      <c r="B37" s="12" t="s">
        <v>74</v>
      </c>
      <c r="C37" s="12">
        <v>1233.0</v>
      </c>
      <c r="D37" s="12">
        <v>15.0</v>
      </c>
      <c r="E37" s="13">
        <f>'2_SECTOR WISE'!$C37*'2_SECTOR WISE'!$D37</f>
        <v>18495</v>
      </c>
      <c r="F37" s="12" t="s">
        <v>33</v>
      </c>
      <c r="G37" s="14">
        <f>'2_SECTOR WISE'!$E37*100/'2_SECTOR WISE'!$E$82</f>
        <v>0.6349023352</v>
      </c>
    </row>
    <row r="38" ht="14.25" customHeight="1">
      <c r="A38" s="12">
        <v>37.0</v>
      </c>
      <c r="B38" s="12" t="s">
        <v>73</v>
      </c>
      <c r="C38" s="12">
        <v>206.0</v>
      </c>
      <c r="D38" s="12">
        <v>86.29</v>
      </c>
      <c r="E38" s="13">
        <f>'2_SECTOR WISE'!$C38*'2_SECTOR WISE'!$D38</f>
        <v>17775.74</v>
      </c>
      <c r="F38" s="12" t="s">
        <v>33</v>
      </c>
      <c r="G38" s="14">
        <f>'2_SECTOR WISE'!$E38*100/'2_SECTOR WISE'!$E$82</f>
        <v>0.6102113455</v>
      </c>
    </row>
    <row r="39" ht="14.25" customHeight="1">
      <c r="A39" s="12">
        <v>26.0</v>
      </c>
      <c r="B39" s="12" t="s">
        <v>70</v>
      </c>
      <c r="C39" s="12">
        <v>93.48</v>
      </c>
      <c r="D39" s="12">
        <v>164.0</v>
      </c>
      <c r="E39" s="13">
        <f>'2_SECTOR WISE'!$C39*'2_SECTOR WISE'!$D39</f>
        <v>15330.72</v>
      </c>
      <c r="F39" s="12" t="s">
        <v>33</v>
      </c>
      <c r="G39" s="14">
        <f>'2_SECTOR WISE'!$E39*100/'2_SECTOR WISE'!$E$82</f>
        <v>0.5262779091</v>
      </c>
    </row>
    <row r="40" ht="14.25" customHeight="1">
      <c r="A40" s="12">
        <v>30.0</v>
      </c>
      <c r="B40" s="12" t="s">
        <v>71</v>
      </c>
      <c r="C40" s="12">
        <v>278.93</v>
      </c>
      <c r="D40" s="12">
        <v>40.0</v>
      </c>
      <c r="E40" s="13">
        <f>'2_SECTOR WISE'!$C40*'2_SECTOR WISE'!$D40</f>
        <v>11157.2</v>
      </c>
      <c r="F40" s="12" t="s">
        <v>33</v>
      </c>
      <c r="G40" s="14">
        <f>'2_SECTOR WISE'!$E40*100/'2_SECTOR WISE'!$E$82</f>
        <v>0.3830079662</v>
      </c>
    </row>
    <row r="41" ht="14.25" customHeight="1">
      <c r="A41" s="12">
        <v>25.0</v>
      </c>
      <c r="B41" s="12" t="s">
        <v>69</v>
      </c>
      <c r="C41" s="12">
        <v>41.82</v>
      </c>
      <c r="D41" s="12">
        <v>250.0</v>
      </c>
      <c r="E41" s="13">
        <f>'2_SECTOR WISE'!$C41*'2_SECTOR WISE'!$D41</f>
        <v>10455</v>
      </c>
      <c r="F41" s="12" t="s">
        <v>33</v>
      </c>
      <c r="G41" s="14">
        <f>'2_SECTOR WISE'!$E41*100/'2_SECTOR WISE'!$E$82</f>
        <v>0.3589026177</v>
      </c>
    </row>
    <row r="42" ht="14.25" customHeight="1">
      <c r="A42" s="31">
        <v>13.0</v>
      </c>
      <c r="B42" s="31" t="s">
        <v>77</v>
      </c>
      <c r="C42" s="31">
        <v>434.5</v>
      </c>
      <c r="D42" s="31">
        <v>345.0</v>
      </c>
      <c r="E42" s="32">
        <f>'2_SECTOR WISE'!$C42*'2_SECTOR WISE'!$D42</f>
        <v>149902.5</v>
      </c>
      <c r="F42" s="31" t="s">
        <v>35</v>
      </c>
      <c r="G42" s="33">
        <f>'2_SECTOR WISE'!$E42*100/'2_SECTOR WISE'!$E$82</f>
        <v>5.145901449</v>
      </c>
    </row>
    <row r="43" ht="14.25" customHeight="1">
      <c r="A43" s="31">
        <v>10.0</v>
      </c>
      <c r="B43" s="31" t="s">
        <v>76</v>
      </c>
      <c r="C43" s="31">
        <v>2412.0</v>
      </c>
      <c r="D43" s="31">
        <v>40.0</v>
      </c>
      <c r="E43" s="32">
        <f>D43*C43</f>
        <v>96480</v>
      </c>
      <c r="F43" s="31" t="s">
        <v>35</v>
      </c>
      <c r="G43" s="33">
        <f>'2_SECTOR WISE'!$E43*100/'2_SECTOR WISE'!$E$82</f>
        <v>3.31199661</v>
      </c>
    </row>
    <row r="44" ht="14.25" customHeight="1">
      <c r="A44" s="31">
        <v>39.0</v>
      </c>
      <c r="B44" s="31" t="s">
        <v>78</v>
      </c>
      <c r="C44" s="31">
        <v>4614.0</v>
      </c>
      <c r="D44" s="31">
        <v>10.0</v>
      </c>
      <c r="E44" s="32">
        <f>'2_SECTOR WISE'!$C44*'2_SECTOR WISE'!$D44</f>
        <v>46140</v>
      </c>
      <c r="F44" s="31" t="s">
        <v>35</v>
      </c>
      <c r="G44" s="33">
        <f>'2_SECTOR WISE'!$E44*100/'2_SECTOR WISE'!$E$82</f>
        <v>1.583908827</v>
      </c>
    </row>
    <row r="45" ht="14.25" customHeight="1">
      <c r="A45" s="36">
        <v>9.0</v>
      </c>
      <c r="B45" s="36" t="s">
        <v>79</v>
      </c>
      <c r="C45" s="36">
        <v>596.0</v>
      </c>
      <c r="D45" s="36">
        <v>100.0</v>
      </c>
      <c r="E45" s="37">
        <f>D45*C45</f>
        <v>59600</v>
      </c>
      <c r="F45" s="36" t="s">
        <v>37</v>
      </c>
      <c r="G45" s="38">
        <f>'2_SECTOR WISE'!$E45*100/'2_SECTOR WISE'!$E$82</f>
        <v>2.045968055</v>
      </c>
    </row>
    <row r="46" ht="14.25" customHeight="1">
      <c r="A46" s="36">
        <v>76.0</v>
      </c>
      <c r="B46" s="36" t="s">
        <v>80</v>
      </c>
      <c r="C46" s="36">
        <v>1589.0</v>
      </c>
      <c r="D46" s="36">
        <v>19.0</v>
      </c>
      <c r="E46" s="37">
        <f>'2_SECTOR WISE'!$C46*'2_SECTOR WISE'!$D46</f>
        <v>30191</v>
      </c>
      <c r="F46" s="36" t="s">
        <v>37</v>
      </c>
      <c r="G46" s="38">
        <f>'2_SECTOR WISE'!$E46*100/'2_SECTOR WISE'!$E$82</f>
        <v>1.036406402</v>
      </c>
    </row>
    <row r="47" ht="14.25" customHeight="1">
      <c r="A47" s="31">
        <v>47.0</v>
      </c>
      <c r="B47" s="31" t="s">
        <v>89</v>
      </c>
      <c r="C47" s="31">
        <v>1385.0</v>
      </c>
      <c r="D47" s="31">
        <v>63.0</v>
      </c>
      <c r="E47" s="32">
        <f>'2_SECTOR WISE'!$C47*'2_SECTOR WISE'!$D47</f>
        <v>87255</v>
      </c>
      <c r="F47" s="31" t="s">
        <v>39</v>
      </c>
      <c r="G47" s="33">
        <f>'2_SECTOR WISE'!$E47*100/'2_SECTOR WISE'!$E$82</f>
        <v>2.99531783</v>
      </c>
    </row>
    <row r="48" ht="14.25" customHeight="1">
      <c r="A48" s="31">
        <v>48.0</v>
      </c>
      <c r="B48" s="31" t="s">
        <v>90</v>
      </c>
      <c r="C48" s="31">
        <v>774.0</v>
      </c>
      <c r="D48" s="31">
        <v>100.0</v>
      </c>
      <c r="E48" s="32">
        <f>'2_SECTOR WISE'!$C48*'2_SECTOR WISE'!$D48</f>
        <v>77400</v>
      </c>
      <c r="F48" s="31" t="s">
        <v>39</v>
      </c>
      <c r="G48" s="33">
        <f>'2_SECTOR WISE'!$E48*100/'2_SECTOR WISE'!$E$82</f>
        <v>2.657012206</v>
      </c>
    </row>
    <row r="49" ht="14.25" customHeight="1">
      <c r="A49" s="31">
        <v>12.0</v>
      </c>
      <c r="B49" s="31" t="s">
        <v>81</v>
      </c>
      <c r="C49" s="31">
        <v>1462.0</v>
      </c>
      <c r="D49" s="31">
        <v>40.0</v>
      </c>
      <c r="E49" s="32">
        <f t="shared" ref="E49:E50" si="7">D49*C49</f>
        <v>58480</v>
      </c>
      <c r="F49" s="31" t="s">
        <v>39</v>
      </c>
      <c r="G49" s="33">
        <f>'2_SECTOR WISE'!$E49*100/'2_SECTOR WISE'!$E$82</f>
        <v>2.007520333</v>
      </c>
    </row>
    <row r="50" ht="14.25" customHeight="1">
      <c r="A50" s="31">
        <v>21.0</v>
      </c>
      <c r="B50" s="31" t="s">
        <v>82</v>
      </c>
      <c r="C50" s="31">
        <v>3857.0</v>
      </c>
      <c r="D50" s="31">
        <v>13.0</v>
      </c>
      <c r="E50" s="32">
        <f t="shared" si="7"/>
        <v>50141</v>
      </c>
      <c r="F50" s="31" t="s">
        <v>39</v>
      </c>
      <c r="G50" s="33">
        <f>'2_SECTOR WISE'!$E50*100/'2_SECTOR WISE'!$E$82</f>
        <v>1.721256447</v>
      </c>
    </row>
    <row r="51" ht="14.25" customHeight="1">
      <c r="A51" s="31">
        <v>71.0</v>
      </c>
      <c r="B51" s="31" t="s">
        <v>94</v>
      </c>
      <c r="C51" s="31">
        <v>4508.0</v>
      </c>
      <c r="D51" s="31">
        <v>11.0</v>
      </c>
      <c r="E51" s="32">
        <f>'2_SECTOR WISE'!$C51*'2_SECTOR WISE'!$D51</f>
        <v>49588</v>
      </c>
      <c r="F51" s="31" t="s">
        <v>39</v>
      </c>
      <c r="G51" s="33">
        <f>'2_SECTOR WISE'!$E51*100/'2_SECTOR WISE'!$E$82</f>
        <v>1.702272884</v>
      </c>
    </row>
    <row r="52" ht="14.25" customHeight="1">
      <c r="A52" s="31">
        <v>41.0</v>
      </c>
      <c r="B52" s="31" t="s">
        <v>87</v>
      </c>
      <c r="C52" s="31">
        <v>861.0</v>
      </c>
      <c r="D52" s="31">
        <v>57.0</v>
      </c>
      <c r="E52" s="32">
        <f>'2_SECTOR WISE'!$C52*'2_SECTOR WISE'!$D52</f>
        <v>49077</v>
      </c>
      <c r="F52" s="31" t="s">
        <v>39</v>
      </c>
      <c r="G52" s="33">
        <f>'2_SECTOR WISE'!$E52*100/'2_SECTOR WISE'!$E$82</f>
        <v>1.684731111</v>
      </c>
    </row>
    <row r="53" ht="14.25" customHeight="1">
      <c r="A53" s="31">
        <v>42.0</v>
      </c>
      <c r="B53" s="31" t="s">
        <v>88</v>
      </c>
      <c r="C53" s="31">
        <v>1074.0</v>
      </c>
      <c r="D53" s="31">
        <v>30.0</v>
      </c>
      <c r="E53" s="32">
        <f>'2_SECTOR WISE'!$C53*'2_SECTOR WISE'!$D53</f>
        <v>32220</v>
      </c>
      <c r="F53" s="31" t="s">
        <v>39</v>
      </c>
      <c r="G53" s="33">
        <f>'2_SECTOR WISE'!$E53*100/'2_SECTOR WISE'!$E$82</f>
        <v>1.106058569</v>
      </c>
    </row>
    <row r="54" ht="14.25" customHeight="1">
      <c r="A54" s="31">
        <v>28.0</v>
      </c>
      <c r="B54" s="31" t="s">
        <v>84</v>
      </c>
      <c r="C54" s="31">
        <v>1040.0</v>
      </c>
      <c r="D54" s="31">
        <v>25.0</v>
      </c>
      <c r="E54" s="32">
        <f>'2_SECTOR WISE'!$C54*'2_SECTOR WISE'!$D54</f>
        <v>26000</v>
      </c>
      <c r="F54" s="31" t="s">
        <v>39</v>
      </c>
      <c r="G54" s="33">
        <f>'2_SECTOR WISE'!$E54*100/'2_SECTOR WISE'!$E$82</f>
        <v>0.8925363998</v>
      </c>
    </row>
    <row r="55" ht="14.25" customHeight="1">
      <c r="A55" s="31">
        <v>49.0</v>
      </c>
      <c r="B55" s="31" t="s">
        <v>91</v>
      </c>
      <c r="C55" s="31">
        <v>605.0</v>
      </c>
      <c r="D55" s="31">
        <v>40.0</v>
      </c>
      <c r="E55" s="32">
        <f>'2_SECTOR WISE'!$C55*'2_SECTOR WISE'!$D55</f>
        <v>24200</v>
      </c>
      <c r="F55" s="31" t="s">
        <v>39</v>
      </c>
      <c r="G55" s="33">
        <f>'2_SECTOR WISE'!$E55*100/'2_SECTOR WISE'!$E$82</f>
        <v>0.8307454183</v>
      </c>
    </row>
    <row r="56" ht="14.25" customHeight="1">
      <c r="A56" s="31">
        <v>56.0</v>
      </c>
      <c r="B56" s="31" t="s">
        <v>92</v>
      </c>
      <c r="C56" s="31">
        <v>524.0</v>
      </c>
      <c r="D56" s="31">
        <v>33.0</v>
      </c>
      <c r="E56" s="32">
        <f>'2_SECTOR WISE'!$C56*'2_SECTOR WISE'!$D56</f>
        <v>17292</v>
      </c>
      <c r="F56" s="31" t="s">
        <v>39</v>
      </c>
      <c r="G56" s="33">
        <f>'2_SECTOR WISE'!$E56*100/'2_SECTOR WISE'!$E$82</f>
        <v>0.5936053625</v>
      </c>
    </row>
    <row r="57" ht="14.25" customHeight="1">
      <c r="A57" s="31">
        <v>34.0</v>
      </c>
      <c r="B57" s="31" t="s">
        <v>86</v>
      </c>
      <c r="C57" s="31">
        <v>484.0</v>
      </c>
      <c r="D57" s="31">
        <v>30.0</v>
      </c>
      <c r="E57" s="32">
        <f>'2_SECTOR WISE'!$C57*'2_SECTOR WISE'!$D57</f>
        <v>14520</v>
      </c>
      <c r="F57" s="31" t="s">
        <v>39</v>
      </c>
      <c r="G57" s="33">
        <f>'2_SECTOR WISE'!$E57*100/'2_SECTOR WISE'!$E$82</f>
        <v>0.498447251</v>
      </c>
    </row>
    <row r="58" ht="14.25" customHeight="1">
      <c r="A58" s="31">
        <v>70.0</v>
      </c>
      <c r="B58" s="31" t="s">
        <v>93</v>
      </c>
      <c r="C58" s="31">
        <v>6958.0</v>
      </c>
      <c r="D58" s="31">
        <v>2.0</v>
      </c>
      <c r="E58" s="32">
        <f>'2_SECTOR WISE'!$C58*'2_SECTOR WISE'!$D58</f>
        <v>13916</v>
      </c>
      <c r="F58" s="31" t="s">
        <v>39</v>
      </c>
      <c r="G58" s="33">
        <f>'2_SECTOR WISE'!$E58*100/'2_SECTOR WISE'!$E$82</f>
        <v>0.4777129439</v>
      </c>
    </row>
    <row r="59" ht="14.25" customHeight="1">
      <c r="A59" s="31">
        <v>31.0</v>
      </c>
      <c r="B59" s="31" t="s">
        <v>85</v>
      </c>
      <c r="C59" s="31">
        <v>237.37</v>
      </c>
      <c r="D59" s="31">
        <v>50.0</v>
      </c>
      <c r="E59" s="32">
        <f>'2_SECTOR WISE'!$C59*'2_SECTOR WISE'!$D59</f>
        <v>11868.5</v>
      </c>
      <c r="F59" s="31" t="s">
        <v>39</v>
      </c>
      <c r="G59" s="33">
        <f>'2_SECTOR WISE'!$E59*100/'2_SECTOR WISE'!$E$82</f>
        <v>0.4074257024</v>
      </c>
    </row>
    <row r="60" ht="14.25" customHeight="1">
      <c r="A60" s="31">
        <v>24.0</v>
      </c>
      <c r="B60" s="31" t="s">
        <v>83</v>
      </c>
      <c r="C60" s="31">
        <v>100.45</v>
      </c>
      <c r="D60" s="31">
        <v>100.0</v>
      </c>
      <c r="E60" s="32">
        <f>'2_SECTOR WISE'!$C60*'2_SECTOR WISE'!$D60</f>
        <v>10045</v>
      </c>
      <c r="F60" s="31" t="s">
        <v>39</v>
      </c>
      <c r="G60" s="33">
        <f>'2_SECTOR WISE'!$E60*100/'2_SECTOR WISE'!$E$82</f>
        <v>0.3448280052</v>
      </c>
    </row>
    <row r="61" ht="14.25" customHeight="1">
      <c r="A61" s="39">
        <v>45.0</v>
      </c>
      <c r="B61" s="39" t="s">
        <v>95</v>
      </c>
      <c r="C61" s="39">
        <v>81.0</v>
      </c>
      <c r="D61" s="39">
        <v>500.0</v>
      </c>
      <c r="E61" s="40">
        <f>'2_SECTOR WISE'!$C61*'2_SECTOR WISE'!$D61</f>
        <v>40500</v>
      </c>
      <c r="F61" s="39" t="s">
        <v>41</v>
      </c>
      <c r="G61" s="41">
        <f>'2_SECTOR WISE'!$E61*100/'2_SECTOR WISE'!$E$82</f>
        <v>1.390297084</v>
      </c>
    </row>
    <row r="62" ht="14.25" customHeight="1">
      <c r="A62" s="39">
        <v>80.0</v>
      </c>
      <c r="B62" s="39" t="s">
        <v>96</v>
      </c>
      <c r="C62" s="39">
        <v>170.5</v>
      </c>
      <c r="D62" s="39">
        <v>100.0</v>
      </c>
      <c r="E62" s="40">
        <f>'2_SECTOR WISE'!$C62*'2_SECTOR WISE'!$D62</f>
        <v>17050</v>
      </c>
      <c r="F62" s="39" t="s">
        <v>41</v>
      </c>
      <c r="G62" s="41">
        <f>'2_SECTOR WISE'!$E62*100/'2_SECTOR WISE'!$E$82</f>
        <v>0.5852979084</v>
      </c>
    </row>
    <row r="63" ht="14.25" customHeight="1">
      <c r="A63" s="31">
        <v>7.0</v>
      </c>
      <c r="B63" s="31" t="s">
        <v>97</v>
      </c>
      <c r="C63" s="31">
        <v>1322.0</v>
      </c>
      <c r="D63" s="31">
        <v>40.0</v>
      </c>
      <c r="E63" s="32">
        <f>D63*C63</f>
        <v>52880</v>
      </c>
      <c r="F63" s="31" t="s">
        <v>43</v>
      </c>
      <c r="G63" s="33">
        <f>'2_SECTOR WISE'!$E63*100/'2_SECTOR WISE'!$E$82</f>
        <v>1.815281724</v>
      </c>
    </row>
    <row r="64" ht="14.25" customHeight="1">
      <c r="A64" s="31">
        <v>68.0</v>
      </c>
      <c r="B64" s="31" t="s">
        <v>98</v>
      </c>
      <c r="C64" s="31">
        <v>1193.0</v>
      </c>
      <c r="D64" s="31">
        <v>2.0</v>
      </c>
      <c r="E64" s="32">
        <f>'2_SECTOR WISE'!$C64*'2_SECTOR WISE'!$D64</f>
        <v>2386</v>
      </c>
      <c r="F64" s="31" t="s">
        <v>43</v>
      </c>
      <c r="G64" s="33">
        <f>'2_SECTOR WISE'!$E64*100/'2_SECTOR WISE'!$E$82</f>
        <v>0.08190737885</v>
      </c>
    </row>
    <row r="65" ht="14.25" customHeight="1">
      <c r="A65" s="15">
        <v>75.0</v>
      </c>
      <c r="B65" s="15" t="s">
        <v>99</v>
      </c>
      <c r="C65" s="15">
        <v>271.0</v>
      </c>
      <c r="D65" s="15">
        <v>3.0</v>
      </c>
      <c r="E65" s="16">
        <f>'2_SECTOR WISE'!$C65*'2_SECTOR WISE'!$D65</f>
        <v>813</v>
      </c>
      <c r="F65" s="15" t="s">
        <v>46</v>
      </c>
      <c r="G65" s="17">
        <f>'2_SECTOR WISE'!$E65*100/'2_SECTOR WISE'!$E$82</f>
        <v>0.02790892666</v>
      </c>
    </row>
    <row r="66" ht="14.25" customHeight="1">
      <c r="A66" s="12">
        <v>46.0</v>
      </c>
      <c r="B66" s="12" t="s">
        <v>101</v>
      </c>
      <c r="C66" s="12">
        <v>423.0</v>
      </c>
      <c r="D66" s="12">
        <v>100.0</v>
      </c>
      <c r="E66" s="13">
        <f>'2_SECTOR WISE'!$C66*'2_SECTOR WISE'!$D66</f>
        <v>42300</v>
      </c>
      <c r="F66" s="12" t="s">
        <v>48</v>
      </c>
      <c r="G66" s="14">
        <f>'2_SECTOR WISE'!$E66*100/'2_SECTOR WISE'!$E$82</f>
        <v>1.452088066</v>
      </c>
    </row>
    <row r="67" ht="14.25" customHeight="1">
      <c r="A67" s="12">
        <v>16.0</v>
      </c>
      <c r="B67" s="12" t="s">
        <v>100</v>
      </c>
      <c r="C67" s="12">
        <v>862.83</v>
      </c>
      <c r="D67" s="12">
        <v>45.0</v>
      </c>
      <c r="E67" s="13">
        <f t="shared" ref="E67:E68" si="8">D67*C67</f>
        <v>38827.35</v>
      </c>
      <c r="F67" s="12" t="s">
        <v>48</v>
      </c>
      <c r="G67" s="14">
        <f>'2_SECTOR WISE'!$E67*100/'2_SECTOR WISE'!$E$82</f>
        <v>1.332877815</v>
      </c>
    </row>
    <row r="68" ht="14.25" customHeight="1">
      <c r="A68" s="42">
        <v>4.0</v>
      </c>
      <c r="B68" s="42" t="s">
        <v>102</v>
      </c>
      <c r="C68" s="42">
        <v>272.52</v>
      </c>
      <c r="D68" s="42">
        <v>100.0</v>
      </c>
      <c r="E68" s="43">
        <f t="shared" si="8"/>
        <v>27252</v>
      </c>
      <c r="F68" s="42" t="s">
        <v>50</v>
      </c>
      <c r="G68" s="44">
        <f>'2_SECTOR WISE'!$E68*100/'2_SECTOR WISE'!$E$82</f>
        <v>0.9355154603</v>
      </c>
    </row>
    <row r="69" ht="14.25" customHeight="1">
      <c r="A69" s="42">
        <v>79.0</v>
      </c>
      <c r="B69" s="42" t="s">
        <v>103</v>
      </c>
      <c r="C69" s="42">
        <v>1575.0</v>
      </c>
      <c r="D69" s="42">
        <v>16.0</v>
      </c>
      <c r="E69" s="43">
        <f>'2_SECTOR WISE'!$C69*'2_SECTOR WISE'!$D69</f>
        <v>25200</v>
      </c>
      <c r="F69" s="42" t="s">
        <v>50</v>
      </c>
      <c r="G69" s="44">
        <f>'2_SECTOR WISE'!$E69*100/'2_SECTOR WISE'!$E$82</f>
        <v>0.8650737414</v>
      </c>
    </row>
    <row r="70" ht="14.25" customHeight="1">
      <c r="A70" s="15">
        <v>63.0</v>
      </c>
      <c r="B70" s="15" t="s">
        <v>104</v>
      </c>
      <c r="C70" s="15">
        <v>833.0</v>
      </c>
      <c r="D70" s="15">
        <v>31.0</v>
      </c>
      <c r="E70" s="16">
        <f>'2_SECTOR WISE'!$C70*'2_SECTOR WISE'!$D70</f>
        <v>25823</v>
      </c>
      <c r="F70" s="15" t="s">
        <v>105</v>
      </c>
      <c r="G70" s="17">
        <f>'2_SECTOR WISE'!$E70*100/'2_SECTOR WISE'!$E$82</f>
        <v>0.8864602867</v>
      </c>
    </row>
    <row r="71" ht="14.25" customHeight="1">
      <c r="A71" s="15">
        <v>69.0</v>
      </c>
      <c r="B71" s="15" t="s">
        <v>106</v>
      </c>
      <c r="C71" s="15">
        <v>650.0</v>
      </c>
      <c r="D71" s="15">
        <v>20.0</v>
      </c>
      <c r="E71" s="16">
        <f>'2_SECTOR WISE'!$C71*'2_SECTOR WISE'!$D71</f>
        <v>13000</v>
      </c>
      <c r="F71" s="15" t="s">
        <v>107</v>
      </c>
      <c r="G71" s="17">
        <f>'2_SECTOR WISE'!$E71*100/'2_SECTOR WISE'!$E$82</f>
        <v>0.4462681999</v>
      </c>
    </row>
    <row r="72" ht="14.25" customHeight="1">
      <c r="A72" s="45">
        <v>2.0</v>
      </c>
      <c r="B72" s="45" t="s">
        <v>108</v>
      </c>
      <c r="C72" s="45">
        <v>2980.0</v>
      </c>
      <c r="D72" s="45">
        <v>30.0</v>
      </c>
      <c r="E72" s="46">
        <f t="shared" ref="E72:E76" si="9">D72*C72</f>
        <v>89400</v>
      </c>
      <c r="F72" s="45" t="s">
        <v>109</v>
      </c>
      <c r="G72" s="47">
        <f>'2_SECTOR WISE'!$E72*100/'2_SECTOR WISE'!$E$82</f>
        <v>3.068952083</v>
      </c>
    </row>
    <row r="73" ht="14.25" customHeight="1">
      <c r="A73" s="45">
        <v>17.0</v>
      </c>
      <c r="B73" s="45" t="s">
        <v>111</v>
      </c>
      <c r="C73" s="45">
        <v>2620.0</v>
      </c>
      <c r="D73" s="45">
        <v>30.0</v>
      </c>
      <c r="E73" s="46">
        <f t="shared" si="9"/>
        <v>78600</v>
      </c>
      <c r="F73" s="45" t="s">
        <v>109</v>
      </c>
      <c r="G73" s="47">
        <f>'2_SECTOR WISE'!$E73*100/'2_SECTOR WISE'!$E$82</f>
        <v>2.698206193</v>
      </c>
    </row>
    <row r="74" ht="14.25" customHeight="1">
      <c r="A74" s="45">
        <v>18.0</v>
      </c>
      <c r="B74" s="45" t="s">
        <v>112</v>
      </c>
      <c r="C74" s="45">
        <v>2813.0</v>
      </c>
      <c r="D74" s="45">
        <v>20.0</v>
      </c>
      <c r="E74" s="46">
        <f t="shared" si="9"/>
        <v>56260</v>
      </c>
      <c r="F74" s="45" t="s">
        <v>109</v>
      </c>
      <c r="G74" s="47">
        <f>'2_SECTOR WISE'!$E74*100/'2_SECTOR WISE'!$E$82</f>
        <v>1.931311456</v>
      </c>
    </row>
    <row r="75" ht="14.25" customHeight="1">
      <c r="A75" s="45">
        <v>3.0</v>
      </c>
      <c r="B75" s="45" t="s">
        <v>110</v>
      </c>
      <c r="C75" s="45">
        <v>1916.0</v>
      </c>
      <c r="D75" s="45">
        <v>20.0</v>
      </c>
      <c r="E75" s="46">
        <f t="shared" si="9"/>
        <v>38320</v>
      </c>
      <c r="F75" s="45" t="s">
        <v>109</v>
      </c>
      <c r="G75" s="47">
        <f>'2_SECTOR WISE'!$E75*100/'2_SECTOR WISE'!$E$82</f>
        <v>1.31546134</v>
      </c>
    </row>
    <row r="76" ht="14.25" customHeight="1">
      <c r="A76" s="45">
        <v>22.0</v>
      </c>
      <c r="B76" s="45" t="s">
        <v>113</v>
      </c>
      <c r="C76" s="45">
        <v>417.0</v>
      </c>
      <c r="D76" s="45">
        <v>60.0</v>
      </c>
      <c r="E76" s="46">
        <f t="shared" si="9"/>
        <v>25020</v>
      </c>
      <c r="F76" s="45" t="s">
        <v>109</v>
      </c>
      <c r="G76" s="47">
        <f>'2_SECTOR WISE'!$E76*100/'2_SECTOR WISE'!$E$82</f>
        <v>0.8588946432</v>
      </c>
    </row>
    <row r="77" ht="14.25" customHeight="1">
      <c r="A77" s="45">
        <v>33.0</v>
      </c>
      <c r="B77" s="45" t="s">
        <v>115</v>
      </c>
      <c r="C77" s="45">
        <v>620.0</v>
      </c>
      <c r="D77" s="45">
        <v>40.0</v>
      </c>
      <c r="E77" s="46">
        <f>'2_SECTOR WISE'!$C77*'2_SECTOR WISE'!$D77</f>
        <v>24800</v>
      </c>
      <c r="F77" s="45" t="s">
        <v>109</v>
      </c>
      <c r="G77" s="47">
        <f>'2_SECTOR WISE'!$E77*100/'2_SECTOR WISE'!$E$82</f>
        <v>0.8513424122</v>
      </c>
    </row>
    <row r="78" ht="14.25" customHeight="1">
      <c r="A78" s="45">
        <v>62.0</v>
      </c>
      <c r="B78" s="45" t="s">
        <v>116</v>
      </c>
      <c r="C78" s="45">
        <v>489.0</v>
      </c>
      <c r="D78" s="45">
        <v>40.0</v>
      </c>
      <c r="E78" s="46">
        <f>'2_SECTOR WISE'!$C78*'2_SECTOR WISE'!$D78</f>
        <v>19560</v>
      </c>
      <c r="F78" s="45" t="s">
        <v>109</v>
      </c>
      <c r="G78" s="47">
        <f>'2_SECTOR WISE'!$E78*100/'2_SECTOR WISE'!$E$82</f>
        <v>0.6714619993</v>
      </c>
    </row>
    <row r="79" ht="14.25" customHeight="1">
      <c r="A79" s="45">
        <v>32.0</v>
      </c>
      <c r="B79" s="45" t="s">
        <v>114</v>
      </c>
      <c r="C79" s="45">
        <v>842.32</v>
      </c>
      <c r="D79" s="45">
        <v>15.0</v>
      </c>
      <c r="E79" s="46">
        <f>'2_SECTOR WISE'!$C79*'2_SECTOR WISE'!$D79</f>
        <v>12634.8</v>
      </c>
      <c r="F79" s="45" t="s">
        <v>109</v>
      </c>
      <c r="G79" s="47">
        <f>'2_SECTOR WISE'!$E79*100/'2_SECTOR WISE'!$E$82</f>
        <v>0.4337314963</v>
      </c>
    </row>
    <row r="80" ht="14.25" customHeight="1">
      <c r="A80" s="45">
        <v>65.0</v>
      </c>
      <c r="B80" s="45" t="s">
        <v>117</v>
      </c>
      <c r="C80" s="45">
        <v>186.0</v>
      </c>
      <c r="D80" s="45">
        <v>32.0</v>
      </c>
      <c r="E80" s="46">
        <f>'2_SECTOR WISE'!$C80*'2_SECTOR WISE'!$D80</f>
        <v>5952</v>
      </c>
      <c r="F80" s="45" t="s">
        <v>109</v>
      </c>
      <c r="G80" s="47">
        <f>'2_SECTOR WISE'!$E80*100/'2_SECTOR WISE'!$E$82</f>
        <v>0.2043221789</v>
      </c>
    </row>
    <row r="81" ht="14.25" customHeight="1">
      <c r="A81" s="48">
        <v>74.0</v>
      </c>
      <c r="B81" s="45" t="s">
        <v>118</v>
      </c>
      <c r="C81" s="45">
        <v>530.0</v>
      </c>
      <c r="D81" s="45">
        <v>4.0</v>
      </c>
      <c r="E81" s="46">
        <f>'2_SECTOR WISE'!$C81*'2_SECTOR WISE'!$D81</f>
        <v>2120</v>
      </c>
      <c r="F81" s="45" t="s">
        <v>109</v>
      </c>
      <c r="G81" s="47">
        <f>'2_SECTOR WISE'!$E81*100/'2_SECTOR WISE'!$E$82</f>
        <v>0.07277604491</v>
      </c>
    </row>
    <row r="82" ht="14.25" customHeight="1">
      <c r="A82" s="49"/>
      <c r="B82" s="50"/>
      <c r="C82" s="50"/>
      <c r="D82" s="50"/>
      <c r="E82" s="51">
        <f>SUM('2_SECTOR WISE'!$E$2:$E$81)</f>
        <v>2913046.46</v>
      </c>
      <c r="F82" s="50"/>
      <c r="G82" s="50"/>
    </row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headerFooter>
    <oddFooter>&amp;L_x000D_#000000 Sensitivity: LNT Construction Internal Use</oddFooter>
  </headerFooter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KIRAN SUDAM NAVALE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52bb50-aef2-4dc8-bb7f-e0da22648362_Enabled">
    <vt:lpwstr>true</vt:lpwstr>
  </property>
  <property fmtid="{D5CDD505-2E9C-101B-9397-08002B2CF9AE}" pid="3" name="MSIP_Label_ac52bb50-aef2-4dc8-bb7f-e0da22648362_SetDate">
    <vt:lpwstr>2024-08-26T10:49:30Z</vt:lpwstr>
  </property>
  <property fmtid="{D5CDD505-2E9C-101B-9397-08002B2CF9AE}" pid="4" name="MSIP_Label_ac52bb50-aef2-4dc8-bb7f-e0da22648362_Method">
    <vt:lpwstr>Standard</vt:lpwstr>
  </property>
  <property fmtid="{D5CDD505-2E9C-101B-9397-08002B2CF9AE}" pid="5" name="MSIP_Label_ac52bb50-aef2-4dc8-bb7f-e0da22648362_Name">
    <vt:lpwstr>ac52bb50-aef2-4dc8-bb7f-e0da22648362</vt:lpwstr>
  </property>
  <property fmtid="{D5CDD505-2E9C-101B-9397-08002B2CF9AE}" pid="6" name="MSIP_Label_ac52bb50-aef2-4dc8-bb7f-e0da22648362_SiteId">
    <vt:lpwstr>264b9899-fe1b-430b-9509-2154878d5774</vt:lpwstr>
  </property>
  <property fmtid="{D5CDD505-2E9C-101B-9397-08002B2CF9AE}" pid="7" name="MSIP_Label_ac52bb50-aef2-4dc8-bb7f-e0da22648362_ActionId">
    <vt:lpwstr>00ce9906-14ba-476f-b2a6-74954c371974</vt:lpwstr>
  </property>
  <property fmtid="{D5CDD505-2E9C-101B-9397-08002B2CF9AE}" pid="8" name="MSIP_Label_ac52bb50-aef2-4dc8-bb7f-e0da22648362_ContentBits">
    <vt:lpwstr>2</vt:lpwstr>
  </property>
</Properties>
</file>